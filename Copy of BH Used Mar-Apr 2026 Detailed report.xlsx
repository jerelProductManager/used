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lscs/Downloads/"/>
    </mc:Choice>
  </mc:AlternateContent>
  <xr:revisionPtr revIDLastSave="0" documentId="8_{A43ABA9D-8680-2645-BB24-42896A46A80D}" xr6:coauthVersionLast="47" xr6:coauthVersionMax="47" xr10:uidLastSave="{00000000-0000-0000-0000-000000000000}"/>
  <bookViews>
    <workbookView xWindow="0" yWindow="600" windowWidth="31820" windowHeight="20160" xr2:uid="{7D7E43AE-7211-4103-900A-139F1D9205FA}"/>
  </bookViews>
  <sheets>
    <sheet name="Use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C100" i="1"/>
  <c r="D95" i="1"/>
  <c r="C95" i="1"/>
  <c r="D88" i="1"/>
  <c r="C88" i="1"/>
  <c r="D83" i="1"/>
  <c r="C83" i="1"/>
  <c r="D76" i="1"/>
  <c r="C76" i="1"/>
  <c r="D71" i="1"/>
  <c r="C71" i="1"/>
  <c r="D66" i="1"/>
  <c r="C66" i="1"/>
  <c r="D61" i="1"/>
  <c r="C61" i="1"/>
  <c r="D55" i="1"/>
  <c r="C55" i="1"/>
  <c r="D50" i="1"/>
  <c r="C50" i="1"/>
  <c r="I37" i="1"/>
  <c r="H37" i="1"/>
  <c r="I34" i="1"/>
  <c r="H34" i="1"/>
  <c r="I31" i="1"/>
  <c r="H31" i="1"/>
  <c r="I28" i="1"/>
  <c r="H28" i="1"/>
  <c r="I25" i="1"/>
  <c r="H25" i="1"/>
  <c r="I22" i="1"/>
  <c r="H22" i="1"/>
  <c r="I15" i="1"/>
  <c r="H15" i="1"/>
  <c r="I12" i="1"/>
  <c r="H12" i="1"/>
  <c r="I9" i="1"/>
  <c r="H9" i="1"/>
  <c r="I6" i="1"/>
  <c r="H6" i="1"/>
  <c r="I3" i="1"/>
  <c r="H3" i="1"/>
  <c r="K37" i="1"/>
  <c r="J37" i="1"/>
  <c r="K34" i="1"/>
  <c r="J34" i="1"/>
  <c r="K31" i="1"/>
  <c r="J31" i="1"/>
  <c r="K28" i="1"/>
  <c r="J28" i="1"/>
  <c r="K25" i="1"/>
  <c r="J25" i="1"/>
  <c r="K22" i="1"/>
  <c r="J22" i="1"/>
  <c r="F100" i="1"/>
  <c r="E100" i="1"/>
  <c r="F95" i="1"/>
  <c r="E95" i="1"/>
  <c r="F88" i="1"/>
  <c r="E88" i="1"/>
  <c r="F83" i="1"/>
  <c r="E83" i="1"/>
  <c r="F76" i="1"/>
  <c r="E76" i="1"/>
  <c r="F71" i="1"/>
  <c r="E71" i="1"/>
  <c r="F66" i="1"/>
  <c r="E66" i="1"/>
  <c r="F61" i="1"/>
  <c r="E61" i="1"/>
  <c r="F55" i="1"/>
  <c r="E55" i="1"/>
  <c r="F50" i="1"/>
  <c r="E50" i="1"/>
  <c r="K15" i="1"/>
  <c r="K12" i="1"/>
  <c r="K9" i="1"/>
  <c r="K6" i="1"/>
  <c r="K3" i="1"/>
  <c r="J15" i="1"/>
  <c r="J12" i="1"/>
  <c r="J9" i="1"/>
  <c r="J6" i="1"/>
  <c r="J3" i="1"/>
  <c r="L3" i="1"/>
  <c r="L6" i="1"/>
  <c r="L9" i="1"/>
  <c r="L12" i="1"/>
  <c r="L15" i="1"/>
  <c r="G55" i="1"/>
  <c r="G50" i="1"/>
  <c r="G100" i="1"/>
  <c r="G95" i="1"/>
  <c r="G88" i="1"/>
  <c r="G83" i="1"/>
  <c r="G76" i="1"/>
  <c r="G71" i="1"/>
  <c r="G66" i="1"/>
  <c r="G61" i="1"/>
  <c r="L37" i="1"/>
  <c r="L34" i="1"/>
  <c r="L31" i="1"/>
  <c r="L28" i="1"/>
  <c r="L25" i="1"/>
  <c r="L22" i="1"/>
  <c r="H100" i="1"/>
  <c r="H95" i="1"/>
  <c r="H88" i="1"/>
  <c r="H83" i="1"/>
  <c r="H76" i="1"/>
  <c r="H71" i="1"/>
  <c r="H66" i="1"/>
  <c r="H61" i="1"/>
  <c r="H55" i="1"/>
  <c r="H50" i="1"/>
  <c r="M37" i="1"/>
  <c r="M34" i="1"/>
  <c r="M31" i="1"/>
  <c r="M28" i="1"/>
  <c r="M25" i="1"/>
  <c r="M22" i="1"/>
  <c r="M15" i="1"/>
  <c r="M12" i="1"/>
  <c r="M9" i="1"/>
  <c r="M6" i="1"/>
  <c r="M3" i="1"/>
  <c r="J100" i="1"/>
  <c r="I100" i="1"/>
  <c r="J95" i="1"/>
  <c r="I95" i="1"/>
  <c r="J88" i="1"/>
  <c r="I88" i="1"/>
  <c r="J83" i="1"/>
  <c r="I83" i="1"/>
  <c r="J76" i="1"/>
  <c r="I76" i="1"/>
  <c r="J71" i="1"/>
  <c r="I71" i="1"/>
  <c r="J66" i="1"/>
  <c r="I66" i="1"/>
  <c r="I61" i="1"/>
  <c r="J61" i="1"/>
  <c r="J55" i="1"/>
  <c r="I55" i="1"/>
  <c r="J50" i="1"/>
  <c r="I50" i="1"/>
  <c r="O37" i="1"/>
  <c r="O34" i="1"/>
  <c r="O31" i="1"/>
  <c r="O28" i="1"/>
  <c r="O25" i="1"/>
  <c r="O22" i="1"/>
  <c r="N37" i="1"/>
  <c r="N34" i="1"/>
  <c r="N31" i="1"/>
  <c r="N28" i="1"/>
  <c r="N25" i="1"/>
  <c r="N22" i="1"/>
  <c r="O15" i="1"/>
  <c r="O12" i="1"/>
  <c r="O9" i="1"/>
  <c r="O6" i="1"/>
  <c r="O3" i="1"/>
  <c r="N15" i="1"/>
  <c r="N12" i="1"/>
  <c r="N9" i="1"/>
  <c r="N6" i="1"/>
  <c r="N3" i="1"/>
  <c r="K100" i="1"/>
  <c r="K95" i="1"/>
  <c r="K88" i="1"/>
  <c r="K83" i="1"/>
  <c r="K76" i="1"/>
  <c r="K71" i="1"/>
  <c r="K66" i="1"/>
  <c r="K61" i="1"/>
  <c r="K55" i="1"/>
  <c r="K50" i="1"/>
  <c r="P37" i="1"/>
  <c r="P34" i="1"/>
  <c r="P31" i="1"/>
  <c r="P28" i="1"/>
  <c r="P25" i="1"/>
  <c r="P22" i="1"/>
  <c r="P15" i="1"/>
  <c r="P12" i="1"/>
  <c r="P9" i="1"/>
  <c r="P6" i="1"/>
  <c r="P3" i="1"/>
  <c r="N100" i="1"/>
  <c r="M100" i="1"/>
  <c r="L100" i="1"/>
  <c r="N95" i="1"/>
  <c r="M95" i="1"/>
  <c r="L95" i="1"/>
  <c r="N88" i="1"/>
  <c r="M88" i="1"/>
  <c r="L88" i="1"/>
  <c r="L83" i="1"/>
  <c r="M83" i="1"/>
  <c r="N83" i="1"/>
  <c r="P76" i="1"/>
  <c r="O76" i="1"/>
  <c r="N76" i="1"/>
  <c r="M76" i="1"/>
  <c r="L76" i="1"/>
  <c r="P71" i="1"/>
  <c r="O71" i="1"/>
  <c r="N71" i="1"/>
  <c r="M71" i="1"/>
  <c r="L71" i="1"/>
  <c r="P66" i="1"/>
  <c r="O66" i="1"/>
  <c r="N66" i="1"/>
  <c r="M66" i="1"/>
  <c r="L66" i="1"/>
  <c r="M61" i="1"/>
  <c r="N61" i="1"/>
  <c r="O61" i="1"/>
  <c r="P61" i="1"/>
  <c r="L61" i="1"/>
  <c r="N55" i="1"/>
  <c r="M55" i="1"/>
  <c r="L55" i="1"/>
  <c r="N50" i="1"/>
  <c r="M50" i="1"/>
  <c r="L50" i="1"/>
  <c r="Q37" i="1"/>
  <c r="S34" i="1"/>
  <c r="R34" i="1"/>
  <c r="Q34" i="1"/>
  <c r="S31" i="1"/>
  <c r="R31" i="1"/>
  <c r="Q31" i="1"/>
  <c r="S28" i="1"/>
  <c r="R28" i="1"/>
  <c r="Q28" i="1"/>
  <c r="S25" i="1"/>
  <c r="R25" i="1"/>
  <c r="Q25" i="1"/>
  <c r="S22" i="1"/>
  <c r="R22" i="1"/>
  <c r="Q22" i="1"/>
  <c r="S6" i="1"/>
  <c r="Q6" i="1"/>
  <c r="R15" i="1"/>
  <c r="S15" i="1"/>
  <c r="Q15" i="1"/>
  <c r="R12" i="1"/>
  <c r="S12" i="1"/>
  <c r="Q12" i="1"/>
  <c r="R9" i="1"/>
  <c r="S9" i="1"/>
  <c r="Q9" i="1"/>
  <c r="R6" i="1"/>
  <c r="R3" i="1"/>
  <c r="S3" i="1"/>
  <c r="Q3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Q55" i="1"/>
  <c r="P55" i="1"/>
  <c r="O55" i="1"/>
  <c r="Q50" i="1"/>
  <c r="P50" i="1"/>
  <c r="O50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Y15" i="1"/>
  <c r="X15" i="1"/>
  <c r="W15" i="1"/>
  <c r="V15" i="1"/>
  <c r="U15" i="1"/>
  <c r="T15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AA9" i="1"/>
  <c r="Z9" i="1"/>
  <c r="Y9" i="1"/>
  <c r="X9" i="1"/>
  <c r="W9" i="1"/>
  <c r="V9" i="1"/>
  <c r="U9" i="1"/>
  <c r="T9" i="1"/>
  <c r="AA6" i="1"/>
  <c r="Z6" i="1"/>
  <c r="Y6" i="1"/>
  <c r="X6" i="1"/>
  <c r="W6" i="1"/>
  <c r="V6" i="1"/>
  <c r="U6" i="1"/>
  <c r="T6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</calcChain>
</file>

<file path=xl/sharedStrings.xml><?xml version="1.0" encoding="utf-8"?>
<sst xmlns="http://schemas.openxmlformats.org/spreadsheetml/2006/main" count="307" uniqueCount="68">
  <si>
    <t xml:space="preserve">Used Department Operations </t>
  </si>
  <si>
    <t xml:space="preserve">Metrics </t>
  </si>
  <si>
    <t>Evaluations, Repairs, Warehouse</t>
  </si>
  <si>
    <t>Mar</t>
  </si>
  <si>
    <t xml:space="preserve">Feb </t>
  </si>
  <si>
    <t xml:space="preserve">Jan </t>
  </si>
  <si>
    <t xml:space="preserve">Nov </t>
  </si>
  <si>
    <t>Oct</t>
  </si>
  <si>
    <t>Sept</t>
  </si>
  <si>
    <t>Aug</t>
  </si>
  <si>
    <t xml:space="preserve">July </t>
  </si>
  <si>
    <t>June</t>
  </si>
  <si>
    <t>May</t>
  </si>
  <si>
    <t xml:space="preserve">Apr </t>
  </si>
  <si>
    <t>Feb</t>
  </si>
  <si>
    <r>
      <rPr>
        <i/>
        <sz val="12"/>
        <color rgb="FFFF0000"/>
        <rFont val="Aptos Narrow"/>
        <family val="2"/>
        <scheme val="minor"/>
      </rPr>
      <t>New*</t>
    </r>
    <r>
      <rPr>
        <sz val="12"/>
        <color theme="1"/>
        <rFont val="Aptos Narrow"/>
        <family val="2"/>
        <scheme val="minor"/>
      </rPr>
      <t xml:space="preserve">Quote Processing Time </t>
    </r>
    <r>
      <rPr>
        <b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 xml:space="preserve">-Business days (unload-pst)
</t>
    </r>
  </si>
  <si>
    <t>Total</t>
  </si>
  <si>
    <t>On Time</t>
  </si>
  <si>
    <t>Late</t>
  </si>
  <si>
    <t xml:space="preserve">Transferring Items to Stock 3-Days(pst- inv)
</t>
  </si>
  <si>
    <t>Repairs Processing Time 10-Days (inhouse&amp;vendor)</t>
  </si>
  <si>
    <t xml:space="preserve">420 Shipping Orders Performance </t>
  </si>
  <si>
    <t xml:space="preserve">420 Store Pickup Orders Performance </t>
  </si>
  <si>
    <t>* Prior to 2025 the #'s are reg days and not business days, 
also the number of days changed from 5 to 3.</t>
  </si>
  <si>
    <t>Used Department Contact Center</t>
  </si>
  <si>
    <t xml:space="preserve">Phone,Chat &amp; Email </t>
  </si>
  <si>
    <t xml:space="preserve">Sales-Phone Queue </t>
  </si>
  <si>
    <t>Lost</t>
  </si>
  <si>
    <t>% Total</t>
  </si>
  <si>
    <t>Trade In- Phone Queue</t>
  </si>
  <si>
    <t xml:space="preserve">Sales- Chat Queue </t>
  </si>
  <si>
    <t>CC-Phone Queues</t>
  </si>
  <si>
    <t>CC- Chat Queue</t>
  </si>
  <si>
    <t xml:space="preserve">CSS Evaluation Score </t>
  </si>
  <si>
    <t>Nov</t>
  </si>
  <si>
    <t>July</t>
  </si>
  <si>
    <t xml:space="preserve">May </t>
  </si>
  <si>
    <t>N/A</t>
  </si>
  <si>
    <t xml:space="preserve">Used Sellers NPS Score </t>
  </si>
  <si>
    <t>Dec</t>
  </si>
  <si>
    <t>Apr</t>
  </si>
  <si>
    <t>Purchases- PRE</t>
  </si>
  <si>
    <t>Used Purchases by Month - Inventory Cost PRE Merchandise</t>
  </si>
  <si>
    <t xml:space="preserve">June </t>
  </si>
  <si>
    <t>Used Purchases by Month - Quote Qty  PRE Merchandise</t>
  </si>
  <si>
    <t xml:space="preserve">Sales &amp; Qty- PRE &amp; BH </t>
  </si>
  <si>
    <t>Gross Sales by Month - PRE Merchandise</t>
  </si>
  <si>
    <t>Gross Qty by Month - PRE Merchandise</t>
  </si>
  <si>
    <t>Gross Sales by Month - BH Merchandise</t>
  </si>
  <si>
    <t>Gross Qty by Month - BH Merchandise</t>
  </si>
  <si>
    <t>Used Inventory by Age - Days in Inventory - PRE</t>
  </si>
  <si>
    <t>Pre-Owned Merchandise</t>
  </si>
  <si>
    <r>
      <t xml:space="preserve">Total </t>
    </r>
    <r>
      <rPr>
        <b/>
        <sz val="12"/>
        <color rgb="FFFF0000"/>
        <rFont val="Aptos Narrow"/>
        <family val="2"/>
        <scheme val="minor"/>
      </rPr>
      <t>Cost</t>
    </r>
  </si>
  <si>
    <t>Cost &gt; 180 Days</t>
  </si>
  <si>
    <t xml:space="preserve">% &gt; 180 Days </t>
  </si>
  <si>
    <r>
      <t xml:space="preserve">Total </t>
    </r>
    <r>
      <rPr>
        <b/>
        <sz val="12"/>
        <color rgb="FFFF0000"/>
        <rFont val="Aptos Narrow"/>
        <family val="2"/>
        <scheme val="minor"/>
      </rPr>
      <t>Qty</t>
    </r>
  </si>
  <si>
    <t>Qty &gt; 180 Days</t>
  </si>
  <si>
    <t>Used Inventory by Age - Days in Inventory - BH</t>
  </si>
  <si>
    <t xml:space="preserve">BH Return Merchandise </t>
  </si>
  <si>
    <t>% &gt; 180 Days</t>
  </si>
  <si>
    <t>Used Customer Service - Chat Queue</t>
  </si>
  <si>
    <t>%+-</t>
  </si>
  <si>
    <t>Jun</t>
  </si>
  <si>
    <t>Jul</t>
  </si>
  <si>
    <t>Sep</t>
  </si>
  <si>
    <t>Jan</t>
  </si>
  <si>
    <t>2025/2026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</si>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</sst>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#.\ 0,,\M"/>
    <numFmt numFmtId="166" formatCode="mmm\-yyyy"/>
    <numFmt numFmtId="167" formatCode="&quot;$&quot;###.\ 0,,\M"/>
    <numFmt numFmtId="168" formatCode="&quot;$&quot;0\M"/>
  </numFmts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</font>
    <font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8"/>
      <color rgb="FF45454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4" fillId="0" borderId="0"/>
    <xf numFmtId="166" fontId="15" fillId="7" borderId="3" applyNumberFormat="0" applyFont="0" applyBorder="0" applyAlignment="0" applyProtection="0"/>
    <xf numFmtId="0" fontId="16" fillId="0" borderId="0"/>
  </cellStyleXfs>
  <cellXfs count="286">
    <xf numFmtId="0" fontId="0" fillId="0" borderId="0" xfId="0"/>
    <xf numFmtId="17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164" fontId="7" fillId="0" borderId="2" xfId="1" applyNumberFormat="1" applyFont="1" applyFill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/>
    </xf>
    <xf numFmtId="10" fontId="7" fillId="4" borderId="2" xfId="1" applyNumberFormat="1" applyFont="1" applyFill="1" applyBorder="1" applyAlignment="1">
      <alignment horizontal="center" vertical="center"/>
    </xf>
    <xf numFmtId="10" fontId="7" fillId="4" borderId="2" xfId="1" applyNumberFormat="1" applyFont="1" applyFill="1" applyBorder="1" applyAlignment="1">
      <alignment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3" fontId="7" fillId="4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vertical="center"/>
    </xf>
    <xf numFmtId="164" fontId="7" fillId="0" borderId="1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10" fontId="7" fillId="4" borderId="14" xfId="1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shrinkToFit="1"/>
    </xf>
    <xf numFmtId="0" fontId="4" fillId="4" borderId="1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0" fontId="11" fillId="4" borderId="2" xfId="0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1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17" fontId="3" fillId="2" borderId="2" xfId="0" applyNumberFormat="1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left" vertical="top"/>
    </xf>
    <xf numFmtId="164" fontId="4" fillId="0" borderId="2" xfId="1" applyNumberFormat="1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0" fontId="4" fillId="4" borderId="5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top"/>
    </xf>
    <xf numFmtId="10" fontId="4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top"/>
    </xf>
    <xf numFmtId="17" fontId="3" fillId="5" borderId="2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top"/>
    </xf>
    <xf numFmtId="165" fontId="4" fillId="0" borderId="2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3" fillId="5" borderId="0" xfId="0" applyFont="1" applyFill="1" applyAlignment="1">
      <alignment horizontal="center" vertical="center"/>
    </xf>
    <xf numFmtId="3" fontId="4" fillId="0" borderId="2" xfId="0" applyNumberFormat="1" applyFont="1" applyBorder="1"/>
    <xf numFmtId="3" fontId="4" fillId="0" borderId="6" xfId="0" applyNumberFormat="1" applyFont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7" fontId="3" fillId="2" borderId="3" xfId="0" applyNumberFormat="1" applyFont="1" applyFill="1" applyBorder="1" applyAlignment="1">
      <alignment horizontal="center" vertical="top"/>
    </xf>
    <xf numFmtId="165" fontId="4" fillId="4" borderId="2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/>
    </xf>
    <xf numFmtId="164" fontId="4" fillId="0" borderId="5" xfId="1" applyNumberFormat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164" fontId="0" fillId="0" borderId="0" xfId="1" applyNumberFormat="1" applyFont="1" applyFill="1" applyBorder="1"/>
    <xf numFmtId="164" fontId="0" fillId="0" borderId="11" xfId="1" applyNumberFormat="1" applyFont="1" applyBorder="1"/>
    <xf numFmtId="164" fontId="0" fillId="0" borderId="0" xfId="1" applyNumberFormat="1" applyFont="1" applyBorder="1"/>
    <xf numFmtId="17" fontId="3" fillId="2" borderId="5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top"/>
    </xf>
    <xf numFmtId="3" fontId="4" fillId="0" borderId="5" xfId="0" applyNumberFormat="1" applyFont="1" applyBorder="1"/>
    <xf numFmtId="3" fontId="4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164" fontId="4" fillId="0" borderId="6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/>
    <xf numFmtId="164" fontId="4" fillId="0" borderId="6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164" fontId="4" fillId="0" borderId="5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10" fontId="4" fillId="0" borderId="12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9" fontId="4" fillId="0" borderId="14" xfId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top"/>
    </xf>
    <xf numFmtId="164" fontId="4" fillId="0" borderId="2" xfId="1" applyNumberFormat="1" applyFont="1" applyFill="1" applyBorder="1"/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left" vertical="top"/>
    </xf>
    <xf numFmtId="3" fontId="0" fillId="0" borderId="0" xfId="0" applyNumberFormat="1"/>
    <xf numFmtId="9" fontId="0" fillId="0" borderId="0" xfId="1" applyFont="1"/>
    <xf numFmtId="167" fontId="4" fillId="0" borderId="2" xfId="0" applyNumberFormat="1" applyFont="1" applyBorder="1" applyAlignment="1">
      <alignment horizontal="center" vertical="center"/>
    </xf>
    <xf numFmtId="167" fontId="4" fillId="4" borderId="7" xfId="0" applyNumberFormat="1" applyFont="1" applyFill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64" fontId="7" fillId="6" borderId="2" xfId="1" applyNumberFormat="1" applyFont="1" applyFill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7" fontId="3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9" fontId="0" fillId="0" borderId="0" xfId="1" applyFont="1" applyFill="1" applyBorder="1"/>
    <xf numFmtId="3" fontId="4" fillId="0" borderId="3" xfId="0" applyNumberFormat="1" applyFont="1" applyBorder="1"/>
    <xf numFmtId="3" fontId="4" fillId="0" borderId="0" xfId="0" applyNumberFormat="1" applyFont="1"/>
    <xf numFmtId="165" fontId="0" fillId="0" borderId="0" xfId="0" applyNumberFormat="1"/>
    <xf numFmtId="17" fontId="3" fillId="5" borderId="3" xfId="0" applyNumberFormat="1" applyFont="1" applyFill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9" fontId="4" fillId="0" borderId="13" xfId="1" applyFont="1" applyBorder="1" applyAlignment="1">
      <alignment horizontal="center" vertical="center"/>
    </xf>
    <xf numFmtId="17" fontId="3" fillId="5" borderId="8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/>
    <xf numFmtId="168" fontId="4" fillId="0" borderId="0" xfId="0" applyNumberFormat="1" applyFont="1" applyAlignment="1">
      <alignment horizontal="center" vertical="center"/>
    </xf>
    <xf numFmtId="3" fontId="17" fillId="0" borderId="16" xfId="4" applyNumberFormat="1" applyFont="1" applyBorder="1" applyAlignment="1">
      <alignment horizontal="right" vertical="top"/>
    </xf>
    <xf numFmtId="9" fontId="4" fillId="0" borderId="0" xfId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top"/>
    </xf>
    <xf numFmtId="17" fontId="3" fillId="5" borderId="0" xfId="0" applyNumberFormat="1" applyFont="1" applyFill="1" applyAlignment="1">
      <alignment horizontal="center" vertical="top"/>
    </xf>
    <xf numFmtId="9" fontId="4" fillId="0" borderId="0" xfId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top"/>
    </xf>
    <xf numFmtId="17" fontId="3" fillId="5" borderId="17" xfId="0" applyNumberFormat="1" applyFont="1" applyFill="1" applyBorder="1" applyAlignment="1">
      <alignment horizontal="center" vertical="center"/>
    </xf>
    <xf numFmtId="17" fontId="3" fillId="5" borderId="18" xfId="0" applyNumberFormat="1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top"/>
    </xf>
    <xf numFmtId="17" fontId="3" fillId="5" borderId="19" xfId="0" applyNumberFormat="1" applyFont="1" applyFill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9" fontId="4" fillId="0" borderId="22" xfId="1" applyFont="1" applyFill="1" applyBorder="1" applyAlignment="1">
      <alignment horizontal="center" vertical="center"/>
    </xf>
    <xf numFmtId="9" fontId="4" fillId="0" borderId="23" xfId="1" applyFont="1" applyFill="1" applyBorder="1" applyAlignment="1">
      <alignment horizontal="center" vertical="center"/>
    </xf>
    <xf numFmtId="9" fontId="4" fillId="0" borderId="24" xfId="1" applyFont="1" applyFill="1" applyBorder="1" applyAlignment="1">
      <alignment horizontal="center" vertical="center"/>
    </xf>
    <xf numFmtId="9" fontId="4" fillId="0" borderId="25" xfId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3" fillId="5" borderId="19" xfId="0" applyFont="1" applyFill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9" fontId="4" fillId="0" borderId="26" xfId="1" applyFont="1" applyFill="1" applyBorder="1" applyAlignment="1">
      <alignment horizontal="center" vertical="center"/>
    </xf>
    <xf numFmtId="9" fontId="4" fillId="0" borderId="24" xfId="1" applyFont="1" applyBorder="1" applyAlignment="1">
      <alignment horizontal="center" vertical="center"/>
    </xf>
    <xf numFmtId="9" fontId="4" fillId="0" borderId="27" xfId="1" applyFont="1" applyFill="1" applyBorder="1" applyAlignment="1">
      <alignment horizontal="center" vertical="center"/>
    </xf>
    <xf numFmtId="9" fontId="4" fillId="0" borderId="28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11" xfId="0" applyFont="1" applyFill="1" applyBorder="1" applyAlignment="1">
      <alignment horizontal="center" vertical="top"/>
    </xf>
    <xf numFmtId="0" fontId="3" fillId="4" borderId="1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4" borderId="13" xfId="0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5" borderId="14" xfId="0" applyFont="1" applyFill="1" applyBorder="1" applyAlignment="1">
      <alignment horizontal="center" vertical="top"/>
    </xf>
    <xf numFmtId="0" fontId="3" fillId="5" borderId="1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6" fillId="4" borderId="6" xfId="0" applyFont="1" applyFill="1" applyBorder="1" applyAlignment="1">
      <alignment horizontal="center" vertical="top"/>
    </xf>
    <xf numFmtId="0" fontId="6" fillId="4" borderId="10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11" xfId="0" applyFont="1" applyFill="1" applyBorder="1" applyAlignment="1">
      <alignment horizontal="center" vertical="top"/>
    </xf>
    <xf numFmtId="0" fontId="6" fillId="4" borderId="12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1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5">
    <cellStyle name="Normal" xfId="0" builtinId="0"/>
    <cellStyle name="Normal 2" xfId="2" xr:uid="{15A21C32-1FF5-4DD4-8B72-21C473B8F155}"/>
    <cellStyle name="Normal 3" xfId="4" xr:uid="{5824F9CC-70AA-4A85-9DA2-74AA45DC3090}"/>
    <cellStyle name="Percent" xfId="1" builtinId="5"/>
    <cellStyle name="Style 1" xfId="3" xr:uid="{ADBE51A4-3E98-4C02-88E0-9D8C20738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AEF6-AB72-4F3D-AA2E-BCF81DA4344D}">
  <dimension ref="A1:AU100"/>
  <sheetViews>
    <sheetView tabSelected="1" workbookViewId="0">
      <selection activeCell="C53" sqref="C53:Q54"/>
    </sheetView>
  </sheetViews>
  <sheetFormatPr baseColWidth="10" defaultColWidth="8.83203125" defaultRowHeight="15" x14ac:dyDescent="0.2"/>
  <cols>
    <col min="1" max="1" width="6.6640625" customWidth="1"/>
    <col min="2" max="2" width="15.5" customWidth="1"/>
    <col min="3" max="4" width="9.5" bestFit="1" customWidth="1"/>
    <col min="6" max="6" width="9.1640625" customWidth="1"/>
    <col min="7" max="7" width="9.5" bestFit="1" customWidth="1"/>
    <col min="8" max="19" width="9.5" customWidth="1"/>
    <col min="20" max="20" width="9.5" bestFit="1" customWidth="1"/>
    <col min="24" max="24" width="9.5" bestFit="1" customWidth="1"/>
  </cols>
  <sheetData>
    <row r="1" spans="1:42" ht="19" x14ac:dyDescent="0.25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</row>
    <row r="2" spans="1:42" ht="19" x14ac:dyDescent="0.2">
      <c r="A2" s="193" t="s">
        <v>1</v>
      </c>
      <c r="B2" s="240" t="s">
        <v>2</v>
      </c>
      <c r="C2" s="241"/>
      <c r="D2" s="241"/>
      <c r="E2" s="241"/>
      <c r="F2" s="241"/>
      <c r="G2" s="242"/>
      <c r="H2" s="1">
        <v>46138</v>
      </c>
      <c r="I2" s="1">
        <v>46107</v>
      </c>
      <c r="J2" s="1">
        <v>46079</v>
      </c>
      <c r="K2" s="1">
        <v>46048</v>
      </c>
      <c r="L2" s="1">
        <v>46016</v>
      </c>
      <c r="M2" s="1">
        <v>45986</v>
      </c>
      <c r="N2" s="1">
        <v>45955</v>
      </c>
      <c r="O2" s="1">
        <v>45925</v>
      </c>
      <c r="P2" s="1">
        <v>45894</v>
      </c>
      <c r="Q2" s="1">
        <v>45863</v>
      </c>
      <c r="R2" s="1">
        <v>45833</v>
      </c>
      <c r="S2" s="1">
        <v>45802</v>
      </c>
      <c r="T2" s="1">
        <v>45748</v>
      </c>
      <c r="U2" s="2" t="s">
        <v>3</v>
      </c>
      <c r="V2" s="1" t="s">
        <v>4</v>
      </c>
      <c r="W2" s="1" t="s">
        <v>5</v>
      </c>
      <c r="X2" s="3">
        <v>45627</v>
      </c>
      <c r="Y2" s="4" t="s">
        <v>6</v>
      </c>
      <c r="Z2" s="4" t="s">
        <v>7</v>
      </c>
      <c r="AA2" s="4" t="s">
        <v>8</v>
      </c>
      <c r="AB2" s="4" t="s">
        <v>9</v>
      </c>
      <c r="AC2" s="5" t="s">
        <v>10</v>
      </c>
      <c r="AD2" s="4" t="s">
        <v>11</v>
      </c>
      <c r="AE2" s="4" t="s">
        <v>12</v>
      </c>
      <c r="AF2" s="3" t="s">
        <v>13</v>
      </c>
      <c r="AG2" s="4" t="s">
        <v>3</v>
      </c>
      <c r="AH2" s="4" t="s">
        <v>14</v>
      </c>
      <c r="AI2" s="3" t="s">
        <v>5</v>
      </c>
    </row>
    <row r="3" spans="1:42" ht="16" x14ac:dyDescent="0.2">
      <c r="A3" s="193"/>
      <c r="B3" s="243" t="s">
        <v>15</v>
      </c>
      <c r="C3" s="244"/>
      <c r="D3" s="244"/>
      <c r="E3" s="244"/>
      <c r="F3" s="245"/>
      <c r="G3" s="6" t="s">
        <v>16</v>
      </c>
      <c r="H3" s="131">
        <f t="shared" ref="H3:I3" si="0">H4/SUM(H4:H5)</f>
        <v>9.5238095238095247E-3</v>
      </c>
      <c r="I3" s="131">
        <f t="shared" si="0"/>
        <v>3.3992094861660077E-2</v>
      </c>
      <c r="J3" s="131">
        <f t="shared" ref="J3:K3" si="1">J4/SUM(J4:J5)</f>
        <v>9.3185789167152012E-3</v>
      </c>
      <c r="K3" s="131">
        <f t="shared" si="1"/>
        <v>1.188707280832095E-2</v>
      </c>
      <c r="L3" s="131">
        <f t="shared" ref="L3:M3" si="2">L4/SUM(L4:L5)</f>
        <v>5.8927000879507474E-2</v>
      </c>
      <c r="M3" s="131">
        <f t="shared" si="2"/>
        <v>4.6012269938650305E-2</v>
      </c>
      <c r="N3" s="131">
        <f t="shared" ref="N3:P3" si="3">N4/SUM(N4:N5)</f>
        <v>0.28387585162755491</v>
      </c>
      <c r="O3" s="7">
        <f t="shared" ref="O3" si="4">O4/SUM(O4:O5)</f>
        <v>0.90373487638085215</v>
      </c>
      <c r="P3" s="7">
        <f t="shared" si="3"/>
        <v>0.96820809248554918</v>
      </c>
      <c r="Q3" s="7">
        <f t="shared" ref="Q3:S3" si="5">Q4/SUM(Q4:Q5)</f>
        <v>0.98150924537731132</v>
      </c>
      <c r="R3" s="7">
        <f t="shared" si="5"/>
        <v>0.94260869565217387</v>
      </c>
      <c r="S3" s="7">
        <f t="shared" si="5"/>
        <v>0.9461663947797716</v>
      </c>
      <c r="T3" s="7">
        <f t="shared" ref="T3:U3" si="6">T4/SUM(T4:T5)</f>
        <v>0.92475014697236924</v>
      </c>
      <c r="U3" s="7">
        <f t="shared" si="6"/>
        <v>0.95798755186721996</v>
      </c>
      <c r="V3" s="8">
        <f t="shared" ref="V3:W3" si="7">V4/SUM(V4:V5)</f>
        <v>0.96488095238095239</v>
      </c>
      <c r="W3" s="8">
        <f t="shared" si="7"/>
        <v>0.95461912479740685</v>
      </c>
      <c r="X3" s="9">
        <f>X4/SUM(X4:X5)</f>
        <v>0.96807465618860511</v>
      </c>
      <c r="Y3" s="9">
        <f>Y4/SUM(Y4:Y5)</f>
        <v>0.97055214723926375</v>
      </c>
      <c r="Z3" s="9">
        <f t="shared" ref="Z3:AH3" si="8">Z4/SUM(Z4:Z5)</f>
        <v>0.89432176656151419</v>
      </c>
      <c r="AA3" s="9">
        <f t="shared" si="8"/>
        <v>0.94750000000000001</v>
      </c>
      <c r="AB3" s="9">
        <f t="shared" si="8"/>
        <v>0.94113667117726663</v>
      </c>
      <c r="AC3" s="9">
        <f t="shared" si="8"/>
        <v>0.96074766355140184</v>
      </c>
      <c r="AD3" s="9">
        <f t="shared" si="8"/>
        <v>0.92935982339955847</v>
      </c>
      <c r="AE3" s="9">
        <f t="shared" si="8"/>
        <v>0.87015821058374254</v>
      </c>
      <c r="AF3" s="9">
        <f t="shared" si="8"/>
        <v>0.95283926852743017</v>
      </c>
      <c r="AG3" s="9">
        <f t="shared" si="8"/>
        <v>0.95966167859466489</v>
      </c>
      <c r="AH3" s="9">
        <f t="shared" si="8"/>
        <v>0.92906178489702518</v>
      </c>
      <c r="AI3" s="10">
        <f>AI4/SUM(AI4:AI5)</f>
        <v>0.30746416213544242</v>
      </c>
    </row>
    <row r="4" spans="1:42" ht="16" x14ac:dyDescent="0.2">
      <c r="A4" s="193"/>
      <c r="B4" s="246"/>
      <c r="C4" s="247"/>
      <c r="D4" s="247"/>
      <c r="E4" s="247"/>
      <c r="F4" s="248"/>
      <c r="G4" s="6" t="s">
        <v>17</v>
      </c>
      <c r="H4" s="120">
        <v>15</v>
      </c>
      <c r="I4" s="120">
        <v>86</v>
      </c>
      <c r="J4" s="120">
        <v>16</v>
      </c>
      <c r="K4" s="120">
        <v>24</v>
      </c>
      <c r="L4" s="120">
        <v>134</v>
      </c>
      <c r="M4" s="120">
        <v>90</v>
      </c>
      <c r="N4" s="120">
        <v>375</v>
      </c>
      <c r="O4" s="120">
        <v>1718</v>
      </c>
      <c r="P4" s="120">
        <v>1675</v>
      </c>
      <c r="Q4" s="120">
        <v>1964</v>
      </c>
      <c r="R4" s="120">
        <v>1626</v>
      </c>
      <c r="S4" s="120">
        <v>1740</v>
      </c>
      <c r="T4" s="11">
        <v>1573</v>
      </c>
      <c r="U4" s="11">
        <v>1847</v>
      </c>
      <c r="V4" s="12">
        <v>1621</v>
      </c>
      <c r="W4" s="13">
        <v>1767</v>
      </c>
      <c r="X4" s="14">
        <v>1971</v>
      </c>
      <c r="Y4" s="14">
        <v>1582</v>
      </c>
      <c r="Z4" s="14">
        <v>1134</v>
      </c>
      <c r="AA4" s="14">
        <v>1516</v>
      </c>
      <c r="AB4" s="14">
        <v>1391</v>
      </c>
      <c r="AC4" s="14">
        <v>1542</v>
      </c>
      <c r="AD4" s="14">
        <v>1263</v>
      </c>
      <c r="AE4" s="14">
        <v>1595</v>
      </c>
      <c r="AF4" s="14">
        <v>990</v>
      </c>
      <c r="AG4" s="14">
        <v>1475</v>
      </c>
      <c r="AH4" s="14">
        <v>1624</v>
      </c>
      <c r="AI4" s="15">
        <v>622</v>
      </c>
    </row>
    <row r="5" spans="1:42" ht="16" x14ac:dyDescent="0.2">
      <c r="A5" s="193"/>
      <c r="B5" s="249"/>
      <c r="C5" s="250"/>
      <c r="D5" s="250"/>
      <c r="E5" s="250"/>
      <c r="F5" s="251"/>
      <c r="G5" s="6" t="s">
        <v>18</v>
      </c>
      <c r="H5" s="120">
        <v>1560</v>
      </c>
      <c r="I5" s="120">
        <v>2444</v>
      </c>
      <c r="J5" s="120">
        <v>1701</v>
      </c>
      <c r="K5" s="120">
        <v>1995</v>
      </c>
      <c r="L5" s="120">
        <v>2140</v>
      </c>
      <c r="M5" s="120">
        <v>1866</v>
      </c>
      <c r="N5" s="120">
        <v>946</v>
      </c>
      <c r="O5" s="120">
        <v>183</v>
      </c>
      <c r="P5" s="120">
        <v>55</v>
      </c>
      <c r="Q5" s="120">
        <v>37</v>
      </c>
      <c r="R5" s="120">
        <v>99</v>
      </c>
      <c r="S5" s="120">
        <v>99</v>
      </c>
      <c r="T5" s="11">
        <v>128</v>
      </c>
      <c r="U5" s="11">
        <v>81</v>
      </c>
      <c r="V5" s="12">
        <v>59</v>
      </c>
      <c r="W5" s="13">
        <v>84</v>
      </c>
      <c r="X5" s="16">
        <v>65</v>
      </c>
      <c r="Y5" s="17">
        <v>48</v>
      </c>
      <c r="Z5" s="17">
        <v>134</v>
      </c>
      <c r="AA5" s="17">
        <v>84</v>
      </c>
      <c r="AB5" s="11">
        <v>87</v>
      </c>
      <c r="AC5" s="11">
        <v>63</v>
      </c>
      <c r="AD5" s="11">
        <v>96</v>
      </c>
      <c r="AE5" s="11">
        <v>238</v>
      </c>
      <c r="AF5" s="11">
        <v>49</v>
      </c>
      <c r="AG5" s="11">
        <v>62</v>
      </c>
      <c r="AH5" s="11">
        <v>124</v>
      </c>
      <c r="AI5" s="18">
        <v>1401</v>
      </c>
    </row>
    <row r="6" spans="1:42" ht="16" x14ac:dyDescent="0.2">
      <c r="A6" s="193"/>
      <c r="B6" s="243" t="s">
        <v>19</v>
      </c>
      <c r="C6" s="244"/>
      <c r="D6" s="244"/>
      <c r="E6" s="244"/>
      <c r="F6" s="245"/>
      <c r="G6" s="6" t="s">
        <v>16</v>
      </c>
      <c r="H6" s="7">
        <f t="shared" ref="H6:I6" si="9">H7/SUM(H7:H8)</f>
        <v>0.96783827245577758</v>
      </c>
      <c r="I6" s="7">
        <f t="shared" si="9"/>
        <v>0.97843959731543628</v>
      </c>
      <c r="J6" s="7">
        <f t="shared" ref="J6:K6" si="10">J7/SUM(J7:J8)</f>
        <v>0.97963006321704515</v>
      </c>
      <c r="K6" s="7">
        <f t="shared" si="10"/>
        <v>0.9947876233780637</v>
      </c>
      <c r="L6" s="7">
        <f t="shared" ref="L6:M6" si="11">L7/SUM(L7:L8)</f>
        <v>0.98719307542836954</v>
      </c>
      <c r="M6" s="7">
        <f t="shared" si="11"/>
        <v>0.99094450879225016</v>
      </c>
      <c r="N6" s="7">
        <f t="shared" ref="N6:P6" si="12">N7/SUM(N7:N8)</f>
        <v>0.95399047051816555</v>
      </c>
      <c r="O6" s="7">
        <f t="shared" ref="O6" si="13">O7/SUM(O7:O8)</f>
        <v>0.96461538461538465</v>
      </c>
      <c r="P6" s="7">
        <f t="shared" si="12"/>
        <v>0.99562233790818744</v>
      </c>
      <c r="Q6" s="7">
        <f t="shared" ref="Q6:S6" si="14">Q7/SUM(Q7:Q8)</f>
        <v>0.97637717121588086</v>
      </c>
      <c r="R6" s="7">
        <f t="shared" si="14"/>
        <v>0.97314223774539321</v>
      </c>
      <c r="S6" s="7">
        <f t="shared" si="14"/>
        <v>0.98941741217543089</v>
      </c>
      <c r="T6" s="7">
        <f t="shared" ref="T6:U6" si="15">T7/SUM(T7:T8)</f>
        <v>0.98022933965994463</v>
      </c>
      <c r="U6" s="7">
        <f t="shared" si="15"/>
        <v>0.97388792605430385</v>
      </c>
      <c r="V6" s="19">
        <f>V7/SUM(V7:V8)</f>
        <v>0.98171589310829821</v>
      </c>
      <c r="W6" s="7">
        <f>W7/SUM(W7:W8)</f>
        <v>0.99392132125243715</v>
      </c>
      <c r="X6" s="9">
        <f>X7/SUM(X7:X8)</f>
        <v>0.99200252551825741</v>
      </c>
      <c r="Y6" s="9">
        <f>Y7/SUM(Y7:Y8)</f>
        <v>0.99576629974597797</v>
      </c>
      <c r="Z6" s="9">
        <f t="shared" ref="Z6:AA6" si="16">Z7/SUM(Z7:Z8)</f>
        <v>0.965209940017138</v>
      </c>
      <c r="AA6" s="9">
        <f t="shared" si="16"/>
        <v>0.9888153938665063</v>
      </c>
      <c r="AB6" s="252"/>
      <c r="AC6" s="253"/>
      <c r="AD6" s="253"/>
      <c r="AE6" s="253"/>
      <c r="AF6" s="253"/>
      <c r="AG6" s="253"/>
      <c r="AH6" s="253"/>
      <c r="AI6" s="254"/>
    </row>
    <row r="7" spans="1:42" ht="16" x14ac:dyDescent="0.2">
      <c r="A7" s="193"/>
      <c r="B7" s="246"/>
      <c r="C7" s="247"/>
      <c r="D7" s="247"/>
      <c r="E7" s="247"/>
      <c r="F7" s="248"/>
      <c r="G7" s="6" t="s">
        <v>17</v>
      </c>
      <c r="H7" s="11">
        <v>8426</v>
      </c>
      <c r="I7" s="11">
        <v>11663</v>
      </c>
      <c r="J7" s="11">
        <v>8368</v>
      </c>
      <c r="K7" s="11">
        <v>8970</v>
      </c>
      <c r="L7" s="11">
        <v>11177</v>
      </c>
      <c r="M7" s="11">
        <v>9411</v>
      </c>
      <c r="N7" s="11">
        <v>6407</v>
      </c>
      <c r="O7" s="11">
        <v>9405</v>
      </c>
      <c r="P7" s="11">
        <v>8415</v>
      </c>
      <c r="Q7" s="11">
        <v>9837</v>
      </c>
      <c r="R7" s="11">
        <v>8080</v>
      </c>
      <c r="S7" s="121">
        <v>9069</v>
      </c>
      <c r="T7" s="14">
        <v>7437</v>
      </c>
      <c r="U7" s="14">
        <v>8429</v>
      </c>
      <c r="V7" s="20">
        <v>7678</v>
      </c>
      <c r="W7" s="21">
        <v>8666</v>
      </c>
      <c r="X7" s="14">
        <v>9427</v>
      </c>
      <c r="Y7" s="14">
        <v>8232</v>
      </c>
      <c r="Z7" s="14">
        <v>5632</v>
      </c>
      <c r="AA7" s="14">
        <v>8222</v>
      </c>
      <c r="AB7" s="255"/>
      <c r="AC7" s="256"/>
      <c r="AD7" s="256"/>
      <c r="AE7" s="256"/>
      <c r="AF7" s="256"/>
      <c r="AG7" s="256"/>
      <c r="AH7" s="256"/>
      <c r="AI7" s="257"/>
      <c r="AK7" s="125"/>
    </row>
    <row r="8" spans="1:42" ht="16" x14ac:dyDescent="0.2">
      <c r="A8" s="193"/>
      <c r="B8" s="249"/>
      <c r="C8" s="250"/>
      <c r="D8" s="250"/>
      <c r="E8" s="250"/>
      <c r="F8" s="251"/>
      <c r="G8" s="6" t="s">
        <v>18</v>
      </c>
      <c r="H8" s="11">
        <v>280</v>
      </c>
      <c r="I8" s="11">
        <v>257</v>
      </c>
      <c r="J8" s="11">
        <v>174</v>
      </c>
      <c r="K8" s="11">
        <v>47</v>
      </c>
      <c r="L8" s="11">
        <v>145</v>
      </c>
      <c r="M8" s="11">
        <v>86</v>
      </c>
      <c r="N8" s="11">
        <v>309</v>
      </c>
      <c r="O8" s="11">
        <v>345</v>
      </c>
      <c r="P8" s="11">
        <v>37</v>
      </c>
      <c r="Q8" s="11">
        <v>238</v>
      </c>
      <c r="R8" s="11">
        <v>223</v>
      </c>
      <c r="S8">
        <v>97</v>
      </c>
      <c r="T8" s="14">
        <v>150</v>
      </c>
      <c r="U8" s="14">
        <v>226</v>
      </c>
      <c r="V8" s="24">
        <v>143</v>
      </c>
      <c r="W8" s="25">
        <v>53</v>
      </c>
      <c r="X8" s="16">
        <v>76</v>
      </c>
      <c r="Y8" s="17">
        <v>35</v>
      </c>
      <c r="Z8" s="17">
        <v>203</v>
      </c>
      <c r="AA8" s="17">
        <v>93</v>
      </c>
      <c r="AB8" s="258"/>
      <c r="AC8" s="259"/>
      <c r="AD8" s="259"/>
      <c r="AE8" s="259"/>
      <c r="AF8" s="259"/>
      <c r="AG8" s="259"/>
      <c r="AH8" s="259"/>
      <c r="AI8" s="260"/>
      <c r="AK8" s="126"/>
    </row>
    <row r="9" spans="1:42" ht="16" x14ac:dyDescent="0.2">
      <c r="A9" s="193"/>
      <c r="B9" s="243" t="s">
        <v>20</v>
      </c>
      <c r="C9" s="244"/>
      <c r="D9" s="244"/>
      <c r="E9" s="244"/>
      <c r="F9" s="245"/>
      <c r="G9" s="6" t="s">
        <v>16</v>
      </c>
      <c r="H9" s="7">
        <f t="shared" ref="H9:I9" si="17">H10/SUM(H10:H11)</f>
        <v>0.94027954256670898</v>
      </c>
      <c r="I9" s="7">
        <f t="shared" si="17"/>
        <v>0.80017841213202501</v>
      </c>
      <c r="J9" s="7">
        <f t="shared" ref="J9:K9" si="18">J10/SUM(J10:J11)</f>
        <v>0.81694560669456062</v>
      </c>
      <c r="K9" s="7">
        <f t="shared" si="18"/>
        <v>0.78014184397163122</v>
      </c>
      <c r="L9" s="7">
        <f t="shared" ref="L9:M9" si="19">L10/SUM(L10:L11)</f>
        <v>0.79261125104953822</v>
      </c>
      <c r="M9" s="7">
        <f t="shared" si="19"/>
        <v>0.81970649895178194</v>
      </c>
      <c r="N9" s="7">
        <f t="shared" ref="N9:P9" si="20">N10/SUM(N10:N11)</f>
        <v>0.79045092838196285</v>
      </c>
      <c r="O9" s="7">
        <f t="shared" ref="O9" si="21">O10/SUM(O10:O11)</f>
        <v>0.79138755980861242</v>
      </c>
      <c r="P9" s="7">
        <f t="shared" si="20"/>
        <v>0.78108941418293931</v>
      </c>
      <c r="Q9" s="7">
        <f t="shared" ref="Q9:S9" si="22">Q10/SUM(Q10:Q11)</f>
        <v>0.80166821130676558</v>
      </c>
      <c r="R9" s="7">
        <f t="shared" si="22"/>
        <v>0.76347305389221554</v>
      </c>
      <c r="S9" s="7">
        <f t="shared" si="22"/>
        <v>0.79154078549848939</v>
      </c>
      <c r="T9" s="7">
        <f t="shared" ref="T9:U9" si="23">T10/SUM(T10:T11)</f>
        <v>0.71595330739299612</v>
      </c>
      <c r="U9" s="7">
        <f t="shared" si="23"/>
        <v>0.81930693069306926</v>
      </c>
      <c r="V9" s="8">
        <f>V10/SUM(V10:V11)</f>
        <v>0.80760869565217386</v>
      </c>
      <c r="W9" s="7">
        <f>W10/SUM(W10:W11)</f>
        <v>0.81113537117903933</v>
      </c>
      <c r="X9" s="9">
        <f>X10/SUM(X10:X11)</f>
        <v>0.77406417112299464</v>
      </c>
      <c r="Y9" s="9">
        <f>Y10/SUM(Y10:Y11)</f>
        <v>0.77687861271676295</v>
      </c>
      <c r="Z9" s="9">
        <f t="shared" ref="Z9:AA9" si="24">Z10/SUM(Z10:Z11)</f>
        <v>0.7619893428063943</v>
      </c>
      <c r="AA9" s="9">
        <f t="shared" si="24"/>
        <v>0.7425997425997426</v>
      </c>
      <c r="AB9" s="252"/>
      <c r="AC9" s="253"/>
      <c r="AD9" s="253"/>
      <c r="AE9" s="253"/>
      <c r="AF9" s="253"/>
      <c r="AG9" s="253"/>
      <c r="AH9" s="253"/>
      <c r="AI9" s="254"/>
    </row>
    <row r="10" spans="1:42" ht="16" x14ac:dyDescent="0.2">
      <c r="A10" s="193"/>
      <c r="B10" s="246"/>
      <c r="C10" s="247"/>
      <c r="D10" s="247"/>
      <c r="E10" s="247"/>
      <c r="F10" s="248"/>
      <c r="G10" s="6" t="s">
        <v>17</v>
      </c>
      <c r="H10" s="11">
        <v>740</v>
      </c>
      <c r="I10" s="11">
        <v>897</v>
      </c>
      <c r="J10" s="11">
        <v>781</v>
      </c>
      <c r="K10" s="11">
        <v>770</v>
      </c>
      <c r="L10" s="11">
        <v>944</v>
      </c>
      <c r="M10" s="11">
        <v>782</v>
      </c>
      <c r="N10" s="11">
        <v>596</v>
      </c>
      <c r="O10" s="11">
        <v>827</v>
      </c>
      <c r="P10" s="11">
        <v>760</v>
      </c>
      <c r="Q10" s="11">
        <v>865</v>
      </c>
      <c r="R10" s="11">
        <v>765</v>
      </c>
      <c r="S10" s="11">
        <v>786</v>
      </c>
      <c r="T10" s="26">
        <v>552</v>
      </c>
      <c r="U10" s="26">
        <v>662</v>
      </c>
      <c r="V10" s="20">
        <v>743</v>
      </c>
      <c r="W10" s="25">
        <v>743</v>
      </c>
      <c r="X10" s="14">
        <v>579</v>
      </c>
      <c r="Y10" s="14">
        <v>672</v>
      </c>
      <c r="Z10" s="14">
        <v>429</v>
      </c>
      <c r="AA10" s="14">
        <v>577</v>
      </c>
      <c r="AB10" s="255"/>
      <c r="AC10" s="256"/>
      <c r="AD10" s="256"/>
      <c r="AE10" s="256"/>
      <c r="AF10" s="256"/>
      <c r="AG10" s="256"/>
      <c r="AH10" s="256"/>
      <c r="AI10" s="257"/>
    </row>
    <row r="11" spans="1:42" ht="16" x14ac:dyDescent="0.2">
      <c r="A11" s="193"/>
      <c r="B11" s="249"/>
      <c r="C11" s="250"/>
      <c r="D11" s="250"/>
      <c r="E11" s="250"/>
      <c r="F11" s="251"/>
      <c r="G11" s="6" t="s">
        <v>18</v>
      </c>
      <c r="H11" s="11">
        <v>47</v>
      </c>
      <c r="I11" s="11">
        <v>224</v>
      </c>
      <c r="J11" s="11">
        <v>175</v>
      </c>
      <c r="K11" s="11">
        <v>217</v>
      </c>
      <c r="L11" s="11">
        <v>247</v>
      </c>
      <c r="M11" s="11">
        <v>172</v>
      </c>
      <c r="N11" s="11">
        <v>158</v>
      </c>
      <c r="O11" s="11">
        <v>218</v>
      </c>
      <c r="P11" s="11">
        <v>213</v>
      </c>
      <c r="Q11" s="11">
        <v>214</v>
      </c>
      <c r="R11" s="11">
        <v>237</v>
      </c>
      <c r="S11" s="11">
        <v>207</v>
      </c>
      <c r="T11" s="26">
        <v>219</v>
      </c>
      <c r="U11" s="26">
        <v>146</v>
      </c>
      <c r="V11" s="24">
        <v>177</v>
      </c>
      <c r="W11" s="25">
        <v>173</v>
      </c>
      <c r="X11" s="16">
        <v>169</v>
      </c>
      <c r="Y11" s="17">
        <v>193</v>
      </c>
      <c r="Z11" s="17">
        <v>134</v>
      </c>
      <c r="AA11" s="17">
        <v>200</v>
      </c>
      <c r="AB11" s="255"/>
      <c r="AC11" s="256"/>
      <c r="AD11" s="256"/>
      <c r="AE11" s="256"/>
      <c r="AF11" s="256"/>
      <c r="AG11" s="256"/>
      <c r="AH11" s="259"/>
      <c r="AI11" s="260"/>
      <c r="AK11" s="126"/>
    </row>
    <row r="12" spans="1:42" ht="16" x14ac:dyDescent="0.2">
      <c r="A12" s="193"/>
      <c r="B12" s="238" t="s">
        <v>21</v>
      </c>
      <c r="C12" s="238"/>
      <c r="D12" s="238"/>
      <c r="E12" s="238"/>
      <c r="F12" s="238"/>
      <c r="G12" s="6" t="s">
        <v>16</v>
      </c>
      <c r="H12" s="7">
        <f t="shared" ref="H12:I12" si="25">H13/SUM(H13:H14)</f>
        <v>0.99913848804652161</v>
      </c>
      <c r="I12" s="7">
        <f t="shared" si="25"/>
        <v>0.99901502093080519</v>
      </c>
      <c r="J12" s="7">
        <f t="shared" ref="J12:K12" si="26">J13/SUM(J13:J14)</f>
        <v>0.99505562422744132</v>
      </c>
      <c r="K12" s="7">
        <f t="shared" si="26"/>
        <v>0.99813304510169987</v>
      </c>
      <c r="L12" s="7">
        <f t="shared" ref="L12:M12" si="27">L13/SUM(L13:L14)</f>
        <v>0.99862370466321249</v>
      </c>
      <c r="M12" s="7">
        <f t="shared" si="27"/>
        <v>0.99890383657199799</v>
      </c>
      <c r="N12" s="7">
        <f t="shared" ref="N12:P12" si="28">N13/SUM(N13:N14)</f>
        <v>0.99894051763281366</v>
      </c>
      <c r="O12" s="7">
        <f t="shared" ref="O12" si="29">O13/SUM(O13:O14)</f>
        <v>0.98913699456849724</v>
      </c>
      <c r="P12" s="7">
        <f t="shared" si="28"/>
        <v>0.99862919808087736</v>
      </c>
      <c r="Q12" s="7">
        <f t="shared" ref="Q12:S12" si="30">Q13/SUM(Q13:Q14)</f>
        <v>0.99908914949333938</v>
      </c>
      <c r="R12" s="7">
        <f t="shared" si="30"/>
        <v>0.99822560202788335</v>
      </c>
      <c r="S12" s="7">
        <f t="shared" si="30"/>
        <v>0.99870984389111084</v>
      </c>
      <c r="T12" s="7">
        <f t="shared" ref="T12:U12" si="31">T13/SUM(T13:T14)</f>
        <v>0.95071193866374593</v>
      </c>
      <c r="U12" s="7">
        <f t="shared" si="31"/>
        <v>0.99892775767323416</v>
      </c>
      <c r="V12" s="8">
        <f>V13/SUM(V13:V14)</f>
        <v>0.99847258286237972</v>
      </c>
      <c r="W12" s="7">
        <f>W13/SUM(W13:W14)</f>
        <v>0.99915919282511212</v>
      </c>
      <c r="X12" s="9">
        <f>X13/SUM(X13:X14)</f>
        <v>0.98817852834740649</v>
      </c>
      <c r="Y12" s="9">
        <f>Y13/SUM(Y13:Y14)</f>
        <v>0.99806235687863309</v>
      </c>
      <c r="Z12" s="9">
        <f t="shared" ref="Z12:AG12" si="32">Z13/SUM(Z13:Z14)</f>
        <v>0.998556217289298</v>
      </c>
      <c r="AA12" s="9">
        <f t="shared" si="32"/>
        <v>0.9966054621200432</v>
      </c>
      <c r="AB12" s="9">
        <f t="shared" si="32"/>
        <v>0.99752638522427439</v>
      </c>
      <c r="AC12" s="9">
        <f t="shared" si="32"/>
        <v>0.99754380219420336</v>
      </c>
      <c r="AD12" s="9">
        <f t="shared" si="32"/>
        <v>0.9973572938689218</v>
      </c>
      <c r="AE12" s="9">
        <f t="shared" si="32"/>
        <v>0.99369085173501581</v>
      </c>
      <c r="AF12" s="9">
        <f t="shared" si="32"/>
        <v>0.99059638703291264</v>
      </c>
      <c r="AG12" s="9">
        <f t="shared" si="32"/>
        <v>0.99746364558674327</v>
      </c>
      <c r="AH12" s="252"/>
      <c r="AI12" s="254"/>
    </row>
    <row r="13" spans="1:42" ht="17" thickBot="1" x14ac:dyDescent="0.25">
      <c r="A13" s="193"/>
      <c r="B13" s="238"/>
      <c r="C13" s="238"/>
      <c r="D13" s="238"/>
      <c r="E13" s="238"/>
      <c r="F13" s="238"/>
      <c r="G13" s="6" t="s">
        <v>17</v>
      </c>
      <c r="H13" s="11">
        <v>9278</v>
      </c>
      <c r="I13" s="11">
        <v>12171</v>
      </c>
      <c r="J13" s="11">
        <v>10465</v>
      </c>
      <c r="K13" s="11">
        <v>10158</v>
      </c>
      <c r="L13" s="11">
        <v>12335</v>
      </c>
      <c r="M13" s="11">
        <v>10024</v>
      </c>
      <c r="N13" s="11">
        <v>6600</v>
      </c>
      <c r="O13" s="11">
        <v>9834</v>
      </c>
      <c r="P13" s="11">
        <v>8742</v>
      </c>
      <c r="Q13" s="11">
        <v>8775</v>
      </c>
      <c r="R13" s="11">
        <v>7876</v>
      </c>
      <c r="S13" s="11">
        <v>7741</v>
      </c>
      <c r="T13" s="11">
        <v>6944</v>
      </c>
      <c r="U13" s="11">
        <v>7453</v>
      </c>
      <c r="V13" s="20">
        <v>6537</v>
      </c>
      <c r="W13" s="21">
        <v>7130</v>
      </c>
      <c r="X13" s="14">
        <v>8192</v>
      </c>
      <c r="Y13" s="14">
        <v>5666</v>
      </c>
      <c r="Z13" s="14">
        <v>5533</v>
      </c>
      <c r="AA13" s="14">
        <v>6459</v>
      </c>
      <c r="AB13" s="14">
        <v>6049</v>
      </c>
      <c r="AC13" s="14">
        <v>6092</v>
      </c>
      <c r="AD13" s="14">
        <v>5661</v>
      </c>
      <c r="AE13" s="14">
        <v>6930</v>
      </c>
      <c r="AF13" s="14">
        <v>4003</v>
      </c>
      <c r="AG13" s="14">
        <v>5899</v>
      </c>
      <c r="AH13" s="255"/>
      <c r="AI13" s="257"/>
      <c r="AK13" s="121"/>
      <c r="AM13" s="148"/>
      <c r="AN13" s="148"/>
      <c r="AO13" s="148"/>
      <c r="AP13" s="148"/>
    </row>
    <row r="14" spans="1:42" ht="16" x14ac:dyDescent="0.2">
      <c r="A14" s="193"/>
      <c r="B14" s="238"/>
      <c r="C14" s="238"/>
      <c r="D14" s="238"/>
      <c r="E14" s="238"/>
      <c r="F14" s="238"/>
      <c r="G14" s="6" t="s">
        <v>18</v>
      </c>
      <c r="H14" s="11">
        <v>8</v>
      </c>
      <c r="I14" s="11">
        <v>12</v>
      </c>
      <c r="J14" s="11">
        <v>52</v>
      </c>
      <c r="K14" s="11">
        <v>19</v>
      </c>
      <c r="L14" s="11">
        <v>17</v>
      </c>
      <c r="M14" s="11">
        <v>11</v>
      </c>
      <c r="N14" s="11">
        <v>7</v>
      </c>
      <c r="O14" s="11">
        <v>108</v>
      </c>
      <c r="P14" s="11">
        <v>12</v>
      </c>
      <c r="Q14" s="11">
        <v>8</v>
      </c>
      <c r="R14" s="11">
        <v>14</v>
      </c>
      <c r="S14" s="11">
        <v>10</v>
      </c>
      <c r="T14" s="11">
        <v>360</v>
      </c>
      <c r="U14" s="11">
        <v>8</v>
      </c>
      <c r="V14" s="24">
        <v>10</v>
      </c>
      <c r="W14" s="25">
        <v>6</v>
      </c>
      <c r="X14" s="14">
        <v>98</v>
      </c>
      <c r="Y14" s="11">
        <v>11</v>
      </c>
      <c r="Z14" s="11">
        <v>8</v>
      </c>
      <c r="AA14" s="11">
        <v>22</v>
      </c>
      <c r="AB14" s="11">
        <v>15</v>
      </c>
      <c r="AC14" s="11">
        <v>15</v>
      </c>
      <c r="AD14" s="11">
        <v>15</v>
      </c>
      <c r="AE14" s="11">
        <v>44</v>
      </c>
      <c r="AF14" s="11">
        <v>38</v>
      </c>
      <c r="AG14" s="11">
        <v>15</v>
      </c>
      <c r="AH14" s="258"/>
      <c r="AI14" s="260"/>
    </row>
    <row r="15" spans="1:42" ht="16" x14ac:dyDescent="0.2">
      <c r="A15" s="193"/>
      <c r="B15" s="243" t="s">
        <v>22</v>
      </c>
      <c r="C15" s="244"/>
      <c r="D15" s="244"/>
      <c r="E15" s="244"/>
      <c r="F15" s="245"/>
      <c r="G15" s="6" t="s">
        <v>16</v>
      </c>
      <c r="H15" s="7">
        <f t="shared" ref="H15:I15" si="33">H16/SUM(H16:H17)</f>
        <v>0.99153976311336722</v>
      </c>
      <c r="I15" s="7">
        <f t="shared" si="33"/>
        <v>0.96870554765291605</v>
      </c>
      <c r="J15" s="7">
        <f t="shared" ref="J15:K15" si="34">J16/SUM(J16:J17)</f>
        <v>0.97408536585365857</v>
      </c>
      <c r="K15" s="7">
        <f t="shared" si="34"/>
        <v>0.98342541436464093</v>
      </c>
      <c r="L15" s="7">
        <f t="shared" ref="L15:M15" si="35">L16/SUM(L16:L17)</f>
        <v>0.9564606741573034</v>
      </c>
      <c r="M15" s="7">
        <f t="shared" si="35"/>
        <v>0.94736842105263153</v>
      </c>
      <c r="N15" s="7">
        <f t="shared" ref="N15:P15" si="36">N16/SUM(N16:N17)</f>
        <v>0.95833333333333337</v>
      </c>
      <c r="O15" s="7">
        <f t="shared" ref="O15" si="37">O16/SUM(O16:O17)</f>
        <v>0.94615384615384612</v>
      </c>
      <c r="P15" s="7">
        <f t="shared" si="36"/>
        <v>0.97043478260869565</v>
      </c>
      <c r="Q15" s="7">
        <f t="shared" ref="Q15:S15" si="38">Q16/SUM(Q16:Q17)</f>
        <v>0.97651663405088063</v>
      </c>
      <c r="R15" s="7">
        <f t="shared" si="38"/>
        <v>0.97244094488188981</v>
      </c>
      <c r="S15" s="7">
        <f t="shared" si="38"/>
        <v>0.98181818181818181</v>
      </c>
      <c r="T15" s="7">
        <f t="shared" ref="T15:U15" si="39">T16/SUM(T16:T17)</f>
        <v>0.96019900497512434</v>
      </c>
      <c r="U15" s="7">
        <f t="shared" si="39"/>
        <v>0.97969543147208127</v>
      </c>
      <c r="V15" s="8">
        <f>V16/SUM(V16:V17)</f>
        <v>0.97771587743732591</v>
      </c>
      <c r="W15" s="7">
        <f>W16/SUM(W16:W17)</f>
        <v>0.97421203438395421</v>
      </c>
      <c r="X15" s="27">
        <f>X16/SUM(X16:X17)</f>
        <v>0.97722095671981779</v>
      </c>
      <c r="Y15" s="27">
        <f>Y16/SUM(Y16:Y17)</f>
        <v>0.98989898989898994</v>
      </c>
      <c r="Z15" s="277" t="s">
        <v>23</v>
      </c>
      <c r="AA15" s="278"/>
      <c r="AB15" s="278"/>
      <c r="AC15" s="278"/>
      <c r="AD15" s="278"/>
      <c r="AE15" s="278"/>
      <c r="AF15" s="278"/>
      <c r="AG15" s="278"/>
      <c r="AH15" s="278"/>
      <c r="AI15" s="279"/>
    </row>
    <row r="16" spans="1:42" ht="17" thickBot="1" x14ac:dyDescent="0.25">
      <c r="A16" s="193"/>
      <c r="B16" s="246"/>
      <c r="C16" s="247"/>
      <c r="D16" s="247"/>
      <c r="E16" s="247"/>
      <c r="F16" s="248"/>
      <c r="G16" s="6" t="s">
        <v>17</v>
      </c>
      <c r="H16" s="11">
        <v>586</v>
      </c>
      <c r="I16" s="11">
        <v>681</v>
      </c>
      <c r="J16" s="11">
        <v>639</v>
      </c>
      <c r="K16" s="11">
        <v>534</v>
      </c>
      <c r="L16" s="11">
        <v>681</v>
      </c>
      <c r="M16" s="11">
        <v>594</v>
      </c>
      <c r="N16" s="11">
        <v>460</v>
      </c>
      <c r="O16" s="11">
        <v>615</v>
      </c>
      <c r="P16" s="11">
        <v>558</v>
      </c>
      <c r="Q16" s="11">
        <v>499</v>
      </c>
      <c r="R16" s="11">
        <v>494</v>
      </c>
      <c r="S16" s="11">
        <v>486</v>
      </c>
      <c r="T16" s="11">
        <v>386</v>
      </c>
      <c r="U16" s="11">
        <v>386</v>
      </c>
      <c r="V16" s="20">
        <v>351</v>
      </c>
      <c r="W16" s="25">
        <v>340</v>
      </c>
      <c r="X16" s="14">
        <v>429</v>
      </c>
      <c r="Y16" s="14">
        <v>294</v>
      </c>
      <c r="Z16" s="280"/>
      <c r="AA16" s="281"/>
      <c r="AB16" s="281"/>
      <c r="AC16" s="281"/>
      <c r="AD16" s="281"/>
      <c r="AE16" s="281"/>
      <c r="AF16" s="281"/>
      <c r="AG16" s="281"/>
      <c r="AH16" s="281"/>
      <c r="AI16" s="282"/>
      <c r="AK16" s="148">
        <v>526</v>
      </c>
      <c r="AL16" s="148">
        <v>244</v>
      </c>
      <c r="AM16" s="148">
        <v>68</v>
      </c>
      <c r="AN16" s="148">
        <v>88</v>
      </c>
      <c r="AO16" s="148">
        <v>47</v>
      </c>
      <c r="AP16" s="148">
        <v>14</v>
      </c>
    </row>
    <row r="17" spans="1:35" ht="16" x14ac:dyDescent="0.2">
      <c r="A17" s="193"/>
      <c r="B17" s="246"/>
      <c r="C17" s="247"/>
      <c r="D17" s="247"/>
      <c r="E17" s="247"/>
      <c r="F17" s="248"/>
      <c r="G17" s="6" t="s">
        <v>18</v>
      </c>
      <c r="H17" s="11">
        <v>5</v>
      </c>
      <c r="I17" s="11">
        <v>22</v>
      </c>
      <c r="J17" s="11">
        <v>17</v>
      </c>
      <c r="K17" s="11">
        <v>9</v>
      </c>
      <c r="L17" s="11">
        <v>31</v>
      </c>
      <c r="M17" s="11">
        <v>33</v>
      </c>
      <c r="N17" s="11">
        <v>20</v>
      </c>
      <c r="O17" s="11">
        <v>35</v>
      </c>
      <c r="P17" s="11">
        <v>17</v>
      </c>
      <c r="Q17" s="11">
        <v>12</v>
      </c>
      <c r="R17" s="11">
        <v>14</v>
      </c>
      <c r="S17" s="11">
        <v>9</v>
      </c>
      <c r="T17" s="11">
        <v>16</v>
      </c>
      <c r="U17" s="11">
        <v>8</v>
      </c>
      <c r="V17" s="24">
        <v>8</v>
      </c>
      <c r="W17" s="25">
        <v>9</v>
      </c>
      <c r="X17" s="11">
        <v>10</v>
      </c>
      <c r="Y17" s="11">
        <v>3</v>
      </c>
      <c r="Z17" s="283"/>
      <c r="AA17" s="284"/>
      <c r="AB17" s="284"/>
      <c r="AC17" s="284"/>
      <c r="AD17" s="284"/>
      <c r="AE17" s="284"/>
      <c r="AF17" s="284"/>
      <c r="AG17" s="284"/>
      <c r="AH17" s="284"/>
      <c r="AI17" s="285"/>
    </row>
    <row r="18" spans="1:35" ht="19" x14ac:dyDescent="0.2">
      <c r="A18" s="193"/>
      <c r="B18" s="192" t="s">
        <v>24</v>
      </c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190"/>
    </row>
    <row r="19" spans="1:35" ht="19" x14ac:dyDescent="0.2">
      <c r="A19" s="193"/>
      <c r="B19" s="237" t="s">
        <v>25</v>
      </c>
      <c r="C19" s="237"/>
      <c r="D19" s="237"/>
      <c r="E19" s="237"/>
      <c r="F19" s="237"/>
      <c r="G19" s="237"/>
      <c r="H19" s="1">
        <v>46138</v>
      </c>
      <c r="I19" s="1">
        <v>46107</v>
      </c>
      <c r="J19" s="1">
        <v>46079</v>
      </c>
      <c r="K19" s="1">
        <v>46048</v>
      </c>
      <c r="L19" s="1">
        <v>46016</v>
      </c>
      <c r="M19" s="1">
        <v>45986</v>
      </c>
      <c r="N19" s="1">
        <v>45955</v>
      </c>
      <c r="O19" s="1">
        <v>45925</v>
      </c>
      <c r="P19" s="1">
        <v>45894</v>
      </c>
      <c r="Q19" s="1">
        <v>45863</v>
      </c>
      <c r="R19" s="1">
        <v>45833</v>
      </c>
      <c r="S19" s="1">
        <v>45802</v>
      </c>
      <c r="T19" s="1">
        <v>45748</v>
      </c>
      <c r="U19" s="2" t="s">
        <v>3</v>
      </c>
      <c r="V19" s="28" t="s">
        <v>4</v>
      </c>
      <c r="W19" s="28" t="s">
        <v>5</v>
      </c>
      <c r="X19" s="28">
        <v>45627</v>
      </c>
      <c r="Y19" s="29" t="s">
        <v>6</v>
      </c>
      <c r="Z19" s="29" t="s">
        <v>7</v>
      </c>
      <c r="AA19" s="29" t="s">
        <v>8</v>
      </c>
      <c r="AB19" s="29" t="s">
        <v>9</v>
      </c>
      <c r="AC19" s="29" t="s">
        <v>10</v>
      </c>
      <c r="AD19" s="29" t="s">
        <v>11</v>
      </c>
      <c r="AE19" s="29" t="s">
        <v>12</v>
      </c>
      <c r="AF19" s="29" t="s">
        <v>13</v>
      </c>
      <c r="AG19" s="29" t="s">
        <v>3</v>
      </c>
      <c r="AH19" s="29" t="s">
        <v>14</v>
      </c>
      <c r="AI19" s="28" t="s">
        <v>5</v>
      </c>
    </row>
    <row r="20" spans="1:35" ht="16" x14ac:dyDescent="0.2">
      <c r="A20" s="193"/>
      <c r="B20" s="238" t="s">
        <v>26</v>
      </c>
      <c r="C20" s="238"/>
      <c r="D20" s="238"/>
      <c r="E20" s="238"/>
      <c r="F20" s="238"/>
      <c r="G20" s="6" t="s">
        <v>16</v>
      </c>
      <c r="H20" s="30">
        <v>1151</v>
      </c>
      <c r="I20" s="30">
        <v>1557</v>
      </c>
      <c r="J20" s="30">
        <v>1399</v>
      </c>
      <c r="K20" s="30">
        <v>1367</v>
      </c>
      <c r="L20" s="30">
        <v>1626</v>
      </c>
      <c r="M20" s="30">
        <v>1466</v>
      </c>
      <c r="N20" s="30">
        <v>970</v>
      </c>
      <c r="O20" s="30">
        <v>1324</v>
      </c>
      <c r="P20" s="30">
        <v>1441</v>
      </c>
      <c r="Q20" s="30">
        <v>1494</v>
      </c>
      <c r="R20" s="30">
        <v>1544</v>
      </c>
      <c r="S20" s="30">
        <v>1572</v>
      </c>
      <c r="T20" s="30">
        <v>1262</v>
      </c>
      <c r="U20" s="30">
        <v>1467</v>
      </c>
      <c r="V20" s="30">
        <v>1332</v>
      </c>
      <c r="W20" s="31">
        <v>1328</v>
      </c>
      <c r="X20" s="30">
        <v>1470</v>
      </c>
      <c r="Y20" s="30">
        <v>1166</v>
      </c>
      <c r="Z20" s="30">
        <v>931</v>
      </c>
      <c r="AA20" s="30">
        <v>1425</v>
      </c>
      <c r="AB20" s="30">
        <v>1476</v>
      </c>
      <c r="AC20" s="30">
        <v>1630</v>
      </c>
      <c r="AD20" s="30">
        <v>1422</v>
      </c>
      <c r="AE20" s="30">
        <v>1748</v>
      </c>
      <c r="AF20" s="30">
        <v>1137</v>
      </c>
      <c r="AG20" s="30">
        <v>1563</v>
      </c>
      <c r="AH20" s="32">
        <v>1681</v>
      </c>
      <c r="AI20" s="33">
        <v>1661</v>
      </c>
    </row>
    <row r="21" spans="1:35" ht="16" x14ac:dyDescent="0.2">
      <c r="A21" s="193"/>
      <c r="B21" s="238"/>
      <c r="C21" s="238"/>
      <c r="D21" s="238"/>
      <c r="E21" s="238"/>
      <c r="F21" s="238"/>
      <c r="G21" s="6" t="s">
        <v>27</v>
      </c>
      <c r="H21" s="30">
        <v>27</v>
      </c>
      <c r="I21" s="30">
        <v>52</v>
      </c>
      <c r="J21" s="30">
        <v>43</v>
      </c>
      <c r="K21" s="30">
        <v>41</v>
      </c>
      <c r="L21" s="30">
        <v>67</v>
      </c>
      <c r="M21" s="30">
        <v>36</v>
      </c>
      <c r="N21" s="30">
        <v>26</v>
      </c>
      <c r="O21" s="30">
        <v>23</v>
      </c>
      <c r="P21" s="30">
        <v>42</v>
      </c>
      <c r="Q21" s="30">
        <v>30</v>
      </c>
      <c r="R21" s="30">
        <v>39</v>
      </c>
      <c r="S21" s="30">
        <v>15</v>
      </c>
      <c r="T21" s="30">
        <v>15</v>
      </c>
      <c r="U21" s="30">
        <v>22</v>
      </c>
      <c r="V21" s="30">
        <v>21</v>
      </c>
      <c r="W21" s="31">
        <v>20</v>
      </c>
      <c r="X21" s="30">
        <v>5</v>
      </c>
      <c r="Y21" s="30">
        <v>23</v>
      </c>
      <c r="Z21" s="30">
        <v>12</v>
      </c>
      <c r="AA21" s="30">
        <v>17</v>
      </c>
      <c r="AB21" s="30">
        <v>17</v>
      </c>
      <c r="AC21" s="30">
        <v>12</v>
      </c>
      <c r="AD21" s="30">
        <v>17</v>
      </c>
      <c r="AE21" s="30">
        <v>22</v>
      </c>
      <c r="AF21" s="30">
        <v>16</v>
      </c>
      <c r="AG21" s="30">
        <v>22</v>
      </c>
      <c r="AH21" s="34">
        <v>31</v>
      </c>
      <c r="AI21" s="33">
        <v>23</v>
      </c>
    </row>
    <row r="22" spans="1:35" ht="16" x14ac:dyDescent="0.2">
      <c r="A22" s="193"/>
      <c r="B22" s="238"/>
      <c r="C22" s="238"/>
      <c r="D22" s="238"/>
      <c r="E22" s="238"/>
      <c r="F22" s="238"/>
      <c r="G22" s="6" t="s">
        <v>28</v>
      </c>
      <c r="H22" s="35">
        <f t="shared" ref="H22:I22" si="40">1-H21/H20</f>
        <v>0.97654213727193739</v>
      </c>
      <c r="I22" s="35">
        <f t="shared" si="40"/>
        <v>0.96660244059087985</v>
      </c>
      <c r="J22" s="35">
        <f t="shared" ref="J22:K22" si="41">1-J21/J20</f>
        <v>0.96926375982844892</v>
      </c>
      <c r="K22" s="35">
        <f t="shared" si="41"/>
        <v>0.9700073152889539</v>
      </c>
      <c r="L22" s="35">
        <f t="shared" ref="L22:R22" si="42">1-L21/L20</f>
        <v>0.95879458794587946</v>
      </c>
      <c r="M22" s="35">
        <f t="shared" si="42"/>
        <v>0.97544338335607095</v>
      </c>
      <c r="N22" s="35">
        <f t="shared" si="42"/>
        <v>0.97319587628865978</v>
      </c>
      <c r="O22" s="35">
        <f t="shared" si="42"/>
        <v>0.98262839879154074</v>
      </c>
      <c r="P22" s="35">
        <f t="shared" si="42"/>
        <v>0.97085357390700899</v>
      </c>
      <c r="Q22" s="35">
        <f t="shared" si="42"/>
        <v>0.97991967871485941</v>
      </c>
      <c r="R22" s="35">
        <f t="shared" si="42"/>
        <v>0.97474093264248707</v>
      </c>
      <c r="S22" s="36">
        <f t="shared" ref="S22" si="43">1-S21/S20</f>
        <v>0.99045801526717558</v>
      </c>
      <c r="T22" s="35">
        <f>1-T21/T20</f>
        <v>0.98811410459587956</v>
      </c>
      <c r="U22" s="35">
        <f>1-U21/U20</f>
        <v>0.98500340831629174</v>
      </c>
      <c r="V22" s="36">
        <f t="shared" ref="V22:W22" si="44">1-V21/V20</f>
        <v>0.98423423423423428</v>
      </c>
      <c r="W22" s="37">
        <f t="shared" si="44"/>
        <v>0.98493975903614461</v>
      </c>
      <c r="X22" s="36">
        <f>1-X21/X20</f>
        <v>0.99659863945578231</v>
      </c>
      <c r="Y22" s="36">
        <f t="shared" ref="Y22:AI22" si="45">1-Y21/Y20</f>
        <v>0.98027444253859353</v>
      </c>
      <c r="Z22" s="36">
        <f t="shared" si="45"/>
        <v>0.98711063372717511</v>
      </c>
      <c r="AA22" s="36">
        <f t="shared" si="45"/>
        <v>0.98807017543859654</v>
      </c>
      <c r="AB22" s="36">
        <f t="shared" si="45"/>
        <v>0.9884823848238482</v>
      </c>
      <c r="AC22" s="36">
        <f t="shared" si="45"/>
        <v>0.99263803680981599</v>
      </c>
      <c r="AD22" s="36">
        <f t="shared" si="45"/>
        <v>0.98804500703234877</v>
      </c>
      <c r="AE22" s="36">
        <f t="shared" si="45"/>
        <v>0.98741418764302058</v>
      </c>
      <c r="AF22" s="36">
        <f t="shared" si="45"/>
        <v>0.98592788038698331</v>
      </c>
      <c r="AG22" s="36">
        <f t="shared" si="45"/>
        <v>0.98592450415866928</v>
      </c>
      <c r="AH22" s="36">
        <f t="shared" si="45"/>
        <v>0.98155859607376561</v>
      </c>
      <c r="AI22" s="36">
        <f t="shared" si="45"/>
        <v>0.98615291992775433</v>
      </c>
    </row>
    <row r="23" spans="1:35" ht="16" x14ac:dyDescent="0.2">
      <c r="A23" s="193"/>
      <c r="B23" s="225" t="s">
        <v>29</v>
      </c>
      <c r="C23" s="225"/>
      <c r="D23" s="225"/>
      <c r="E23" s="225"/>
      <c r="F23" s="225"/>
      <c r="G23" s="6" t="s">
        <v>16</v>
      </c>
      <c r="H23" s="38">
        <v>2175</v>
      </c>
      <c r="I23" s="38">
        <v>2727</v>
      </c>
      <c r="J23" s="38">
        <v>2420</v>
      </c>
      <c r="K23" s="38">
        <v>2571</v>
      </c>
      <c r="L23" s="38">
        <v>2757</v>
      </c>
      <c r="M23" s="38">
        <v>2570</v>
      </c>
      <c r="N23" s="38">
        <v>1951</v>
      </c>
      <c r="O23" s="38">
        <v>2274</v>
      </c>
      <c r="P23" s="38">
        <v>2629</v>
      </c>
      <c r="Q23" s="38">
        <v>2662</v>
      </c>
      <c r="R23" s="39">
        <v>2271</v>
      </c>
      <c r="S23" s="30">
        <v>2479</v>
      </c>
      <c r="T23" s="38">
        <v>2105</v>
      </c>
      <c r="U23" s="39">
        <v>2557</v>
      </c>
      <c r="V23" s="30">
        <v>2221</v>
      </c>
      <c r="W23" s="40">
        <v>2269</v>
      </c>
      <c r="X23" s="30">
        <v>2303</v>
      </c>
      <c r="Y23" s="30">
        <v>2167</v>
      </c>
      <c r="Z23" s="30">
        <v>1470</v>
      </c>
      <c r="AA23" s="30">
        <v>2193</v>
      </c>
      <c r="AB23" s="30">
        <v>1944</v>
      </c>
      <c r="AC23" s="30">
        <v>2165</v>
      </c>
      <c r="AD23" s="30">
        <v>1814</v>
      </c>
      <c r="AE23" s="30">
        <v>2473</v>
      </c>
      <c r="AF23" s="30">
        <v>1400</v>
      </c>
      <c r="AG23" s="30">
        <v>1969</v>
      </c>
      <c r="AH23" s="41">
        <v>2175</v>
      </c>
      <c r="AI23" s="41">
        <v>2156</v>
      </c>
    </row>
    <row r="24" spans="1:35" ht="16" x14ac:dyDescent="0.2">
      <c r="A24" s="193"/>
      <c r="B24" s="225"/>
      <c r="C24" s="225"/>
      <c r="D24" s="225"/>
      <c r="E24" s="225"/>
      <c r="F24" s="225"/>
      <c r="G24" s="6" t="s">
        <v>27</v>
      </c>
      <c r="H24" s="39">
        <v>74</v>
      </c>
      <c r="I24" s="39">
        <v>91</v>
      </c>
      <c r="J24" s="39">
        <v>74</v>
      </c>
      <c r="K24" s="39">
        <v>82</v>
      </c>
      <c r="L24" s="39">
        <v>118</v>
      </c>
      <c r="M24" s="39">
        <v>72</v>
      </c>
      <c r="N24" s="39">
        <v>56</v>
      </c>
      <c r="O24" s="39">
        <v>41</v>
      </c>
      <c r="P24" s="39">
        <v>70</v>
      </c>
      <c r="Q24" s="39">
        <v>67</v>
      </c>
      <c r="R24" s="39">
        <v>44</v>
      </c>
      <c r="S24" s="30">
        <v>27</v>
      </c>
      <c r="T24" s="39">
        <v>34</v>
      </c>
      <c r="U24" s="39">
        <v>49</v>
      </c>
      <c r="V24" s="30">
        <v>39</v>
      </c>
      <c r="W24" s="40">
        <v>28</v>
      </c>
      <c r="X24" s="30">
        <v>18</v>
      </c>
      <c r="Y24" s="30">
        <v>27</v>
      </c>
      <c r="Z24" s="30">
        <v>25</v>
      </c>
      <c r="AA24" s="30">
        <v>18</v>
      </c>
      <c r="AB24" s="30">
        <v>26</v>
      </c>
      <c r="AC24" s="30">
        <v>29</v>
      </c>
      <c r="AD24" s="30">
        <v>18</v>
      </c>
      <c r="AE24" s="30">
        <v>34</v>
      </c>
      <c r="AF24" s="30">
        <v>10</v>
      </c>
      <c r="AG24" s="30">
        <v>22</v>
      </c>
      <c r="AH24" s="41">
        <v>37</v>
      </c>
      <c r="AI24" s="41">
        <v>33</v>
      </c>
    </row>
    <row r="25" spans="1:35" ht="16" x14ac:dyDescent="0.2">
      <c r="A25" s="193"/>
      <c r="B25" s="225"/>
      <c r="C25" s="225"/>
      <c r="D25" s="225"/>
      <c r="E25" s="225"/>
      <c r="F25" s="225"/>
      <c r="G25" s="6" t="s">
        <v>28</v>
      </c>
      <c r="H25" s="35">
        <f t="shared" ref="H25:I25" si="46">1-H24/H23</f>
        <v>0.96597701149425286</v>
      </c>
      <c r="I25" s="35">
        <f t="shared" si="46"/>
        <v>0.96662999633296665</v>
      </c>
      <c r="J25" s="35">
        <f t="shared" ref="J25:K25" si="47">1-J24/J23</f>
        <v>0.96942148760330582</v>
      </c>
      <c r="K25" s="35">
        <f t="shared" si="47"/>
        <v>0.96810579541034614</v>
      </c>
      <c r="L25" s="35">
        <f t="shared" ref="L25:R25" si="48">1-L24/L23</f>
        <v>0.95719985491476245</v>
      </c>
      <c r="M25" s="35">
        <f t="shared" si="48"/>
        <v>0.97198443579766536</v>
      </c>
      <c r="N25" s="35">
        <f t="shared" si="48"/>
        <v>0.97129677088672473</v>
      </c>
      <c r="O25" s="35">
        <f t="shared" si="48"/>
        <v>0.98197009674582236</v>
      </c>
      <c r="P25" s="35">
        <f t="shared" si="48"/>
        <v>0.97337390642829968</v>
      </c>
      <c r="Q25" s="35">
        <f t="shared" si="48"/>
        <v>0.97483095416979715</v>
      </c>
      <c r="R25" s="35">
        <f t="shared" si="48"/>
        <v>0.98062527520915899</v>
      </c>
      <c r="S25" s="36">
        <f t="shared" ref="S25" si="49">1-S24/S23</f>
        <v>0.9891085114965712</v>
      </c>
      <c r="T25" s="35">
        <f>1-T24/T23</f>
        <v>0.98384798099762472</v>
      </c>
      <c r="U25" s="35">
        <f>1-U24/U23</f>
        <v>0.9808369182635901</v>
      </c>
      <c r="V25" s="36">
        <f t="shared" ref="V25:W25" si="50">1-V24/V23</f>
        <v>0.98244034218820353</v>
      </c>
      <c r="W25" s="37">
        <f t="shared" si="50"/>
        <v>0.98765976200969585</v>
      </c>
      <c r="X25" s="36">
        <f>1-X24/X23</f>
        <v>0.99218410768562748</v>
      </c>
      <c r="Y25" s="36">
        <f t="shared" ref="Y25:AI25" si="51">1-Y24/Y23</f>
        <v>0.98754037840332254</v>
      </c>
      <c r="Z25" s="36">
        <f t="shared" si="51"/>
        <v>0.98299319727891155</v>
      </c>
      <c r="AA25" s="36">
        <f t="shared" si="51"/>
        <v>0.99179206566347466</v>
      </c>
      <c r="AB25" s="36">
        <f t="shared" si="51"/>
        <v>0.98662551440329216</v>
      </c>
      <c r="AC25" s="36">
        <f t="shared" si="51"/>
        <v>0.98660508083140874</v>
      </c>
      <c r="AD25" s="36">
        <f t="shared" si="51"/>
        <v>0.99007717750826907</v>
      </c>
      <c r="AE25" s="36">
        <f t="shared" si="51"/>
        <v>0.98625151637687025</v>
      </c>
      <c r="AF25" s="36">
        <f t="shared" si="51"/>
        <v>0.99285714285714288</v>
      </c>
      <c r="AG25" s="36">
        <f t="shared" si="51"/>
        <v>0.98882681564245811</v>
      </c>
      <c r="AH25" s="36">
        <f t="shared" si="51"/>
        <v>0.98298850574712648</v>
      </c>
      <c r="AI25" s="36">
        <f t="shared" si="51"/>
        <v>0.98469387755102045</v>
      </c>
    </row>
    <row r="26" spans="1:35" ht="16" x14ac:dyDescent="0.2">
      <c r="A26" s="193"/>
      <c r="B26" s="225" t="s">
        <v>30</v>
      </c>
      <c r="C26" s="225"/>
      <c r="D26" s="225"/>
      <c r="E26" s="225"/>
      <c r="F26" s="225"/>
      <c r="G26" s="6" t="s">
        <v>16</v>
      </c>
      <c r="H26" s="39"/>
      <c r="I26" s="39"/>
      <c r="J26" s="39"/>
      <c r="K26" s="39">
        <v>980</v>
      </c>
      <c r="L26" s="39">
        <v>1085</v>
      </c>
      <c r="M26" s="39">
        <v>974</v>
      </c>
      <c r="N26" s="39">
        <v>597</v>
      </c>
      <c r="O26" s="39">
        <v>960</v>
      </c>
      <c r="P26" s="39">
        <v>1039</v>
      </c>
      <c r="Q26" s="39">
        <v>1153</v>
      </c>
      <c r="R26" s="39">
        <v>1016</v>
      </c>
      <c r="S26" s="30">
        <v>1049</v>
      </c>
      <c r="T26" s="39">
        <v>1086</v>
      </c>
      <c r="U26" s="39">
        <v>1086</v>
      </c>
      <c r="V26" s="30">
        <v>1078</v>
      </c>
      <c r="W26" s="40">
        <v>1023</v>
      </c>
      <c r="X26" s="30">
        <v>1171</v>
      </c>
      <c r="Y26" s="30">
        <v>974</v>
      </c>
      <c r="Z26" s="30">
        <v>735</v>
      </c>
      <c r="AA26" s="30">
        <v>968</v>
      </c>
      <c r="AB26" s="30">
        <v>983</v>
      </c>
      <c r="AC26" s="30">
        <v>1186</v>
      </c>
      <c r="AD26" s="30">
        <v>939</v>
      </c>
      <c r="AE26" s="30">
        <v>1240</v>
      </c>
      <c r="AF26" s="30">
        <v>730</v>
      </c>
      <c r="AG26" s="30">
        <v>1112</v>
      </c>
      <c r="AH26" s="33">
        <v>1205</v>
      </c>
      <c r="AI26" s="33">
        <v>1297</v>
      </c>
    </row>
    <row r="27" spans="1:35" ht="16" x14ac:dyDescent="0.2">
      <c r="A27" s="193"/>
      <c r="B27" s="225"/>
      <c r="C27" s="225"/>
      <c r="D27" s="225"/>
      <c r="E27" s="225"/>
      <c r="F27" s="225"/>
      <c r="G27" s="6" t="s">
        <v>27</v>
      </c>
      <c r="H27" s="39"/>
      <c r="I27" s="39"/>
      <c r="J27" s="39"/>
      <c r="K27" s="39">
        <v>67</v>
      </c>
      <c r="L27" s="39">
        <v>31</v>
      </c>
      <c r="M27" s="39">
        <v>21</v>
      </c>
      <c r="N27" s="39">
        <v>23</v>
      </c>
      <c r="O27" s="39">
        <v>26</v>
      </c>
      <c r="P27" s="39">
        <v>44</v>
      </c>
      <c r="Q27" s="39">
        <v>26</v>
      </c>
      <c r="R27" s="39">
        <v>21</v>
      </c>
      <c r="S27" s="30">
        <v>13</v>
      </c>
      <c r="T27" s="39">
        <v>15</v>
      </c>
      <c r="U27" s="39">
        <v>17</v>
      </c>
      <c r="V27" s="30">
        <v>11</v>
      </c>
      <c r="W27" s="40">
        <v>29</v>
      </c>
      <c r="X27" s="30">
        <v>12</v>
      </c>
      <c r="Y27" s="30">
        <v>14</v>
      </c>
      <c r="Z27" s="30">
        <v>35</v>
      </c>
      <c r="AA27" s="30">
        <v>26</v>
      </c>
      <c r="AB27" s="30">
        <v>18</v>
      </c>
      <c r="AC27" s="30">
        <v>35</v>
      </c>
      <c r="AD27" s="30">
        <v>17</v>
      </c>
      <c r="AE27" s="30">
        <v>32</v>
      </c>
      <c r="AF27" s="30">
        <v>15</v>
      </c>
      <c r="AG27" s="30">
        <v>19</v>
      </c>
      <c r="AH27" s="33">
        <v>26</v>
      </c>
      <c r="AI27" s="33">
        <v>14</v>
      </c>
    </row>
    <row r="28" spans="1:35" ht="16" x14ac:dyDescent="0.2">
      <c r="A28" s="193"/>
      <c r="B28" s="225"/>
      <c r="C28" s="225"/>
      <c r="D28" s="225"/>
      <c r="E28" s="225"/>
      <c r="F28" s="225"/>
      <c r="G28" s="6" t="s">
        <v>28</v>
      </c>
      <c r="H28" s="42" t="e">
        <f t="shared" ref="H28:I28" si="52">1-H27/H26</f>
        <v>#DIV/0!</v>
      </c>
      <c r="I28" s="42" t="e">
        <f t="shared" si="52"/>
        <v>#DIV/0!</v>
      </c>
      <c r="J28" s="42" t="e">
        <f t="shared" ref="J28:K28" si="53">1-J27/J26</f>
        <v>#DIV/0!</v>
      </c>
      <c r="K28" s="42">
        <f t="shared" si="53"/>
        <v>0.93163265306122445</v>
      </c>
      <c r="L28" s="42">
        <f t="shared" ref="L28:R28" si="54">1-L27/L26</f>
        <v>0.97142857142857142</v>
      </c>
      <c r="M28" s="42">
        <f t="shared" si="54"/>
        <v>0.97843942505133474</v>
      </c>
      <c r="N28" s="42">
        <f t="shared" si="54"/>
        <v>0.96147403685092125</v>
      </c>
      <c r="O28" s="42">
        <f t="shared" si="54"/>
        <v>0.97291666666666665</v>
      </c>
      <c r="P28" s="42">
        <f t="shared" si="54"/>
        <v>0.95765158806544759</v>
      </c>
      <c r="Q28" s="42">
        <f t="shared" si="54"/>
        <v>0.97745013009540327</v>
      </c>
      <c r="R28" s="42">
        <f t="shared" si="54"/>
        <v>0.97933070866141736</v>
      </c>
      <c r="S28" s="36">
        <f t="shared" ref="S28" si="55">1-S27/S26</f>
        <v>0.98760724499523356</v>
      </c>
      <c r="T28" s="42">
        <f>1-T27/T26</f>
        <v>0.98618784530386738</v>
      </c>
      <c r="U28" s="42">
        <f>1-U27/U26</f>
        <v>0.98434622467771637</v>
      </c>
      <c r="V28" s="36">
        <f t="shared" ref="V28:W28" si="56">1-V27/V26</f>
        <v>0.98979591836734693</v>
      </c>
      <c r="W28" s="37">
        <f t="shared" si="56"/>
        <v>0.97165200391006845</v>
      </c>
      <c r="X28" s="36">
        <f>1-X27/X26</f>
        <v>0.98975234842015369</v>
      </c>
      <c r="Y28" s="36">
        <f t="shared" ref="Y28:AI28" si="57">1-Y27/Y26</f>
        <v>0.98562628336755642</v>
      </c>
      <c r="Z28" s="36">
        <f t="shared" si="57"/>
        <v>0.95238095238095233</v>
      </c>
      <c r="AA28" s="36">
        <f t="shared" si="57"/>
        <v>0.97314049586776863</v>
      </c>
      <c r="AB28" s="36">
        <f t="shared" si="57"/>
        <v>0.98168870803662256</v>
      </c>
      <c r="AC28" s="36">
        <f t="shared" si="57"/>
        <v>0.9704890387858347</v>
      </c>
      <c r="AD28" s="36">
        <f t="shared" si="57"/>
        <v>0.98189563365282218</v>
      </c>
      <c r="AE28" s="36">
        <f t="shared" si="57"/>
        <v>0.97419354838709682</v>
      </c>
      <c r="AF28" s="36">
        <f t="shared" si="57"/>
        <v>0.97945205479452058</v>
      </c>
      <c r="AG28" s="36">
        <f t="shared" si="57"/>
        <v>0.9829136690647482</v>
      </c>
      <c r="AH28" s="36">
        <f t="shared" si="57"/>
        <v>0.97842323651452279</v>
      </c>
      <c r="AI28" s="36">
        <f t="shared" si="57"/>
        <v>0.9892058596761758</v>
      </c>
    </row>
    <row r="29" spans="1:35" ht="16" x14ac:dyDescent="0.2">
      <c r="A29" s="193"/>
      <c r="B29" s="225" t="s">
        <v>31</v>
      </c>
      <c r="C29" s="225"/>
      <c r="D29" s="225"/>
      <c r="E29" s="225"/>
      <c r="F29" s="225"/>
      <c r="G29" s="6" t="s">
        <v>16</v>
      </c>
      <c r="H29" s="39">
        <v>708</v>
      </c>
      <c r="I29" s="39">
        <v>904</v>
      </c>
      <c r="J29" s="39">
        <v>784</v>
      </c>
      <c r="K29" s="39">
        <v>812</v>
      </c>
      <c r="L29" s="39">
        <v>950</v>
      </c>
      <c r="M29" s="39">
        <v>802</v>
      </c>
      <c r="N29" s="39">
        <v>551</v>
      </c>
      <c r="O29" s="39">
        <v>753</v>
      </c>
      <c r="P29" s="39">
        <v>772</v>
      </c>
      <c r="Q29" s="39">
        <v>745</v>
      </c>
      <c r="R29" s="39">
        <v>684</v>
      </c>
      <c r="S29" s="43">
        <v>647</v>
      </c>
      <c r="T29" s="39">
        <v>651</v>
      </c>
      <c r="U29" s="39">
        <v>703</v>
      </c>
      <c r="V29" s="43">
        <v>770</v>
      </c>
      <c r="W29" s="44">
        <v>703</v>
      </c>
      <c r="X29" s="30">
        <v>732</v>
      </c>
      <c r="Y29" s="30">
        <v>633</v>
      </c>
      <c r="Z29" s="30">
        <v>613</v>
      </c>
      <c r="AA29" s="30">
        <v>628</v>
      </c>
      <c r="AB29" s="45">
        <v>655</v>
      </c>
      <c r="AC29" s="45">
        <v>613</v>
      </c>
      <c r="AD29" s="45">
        <v>740</v>
      </c>
      <c r="AE29" s="45">
        <v>477</v>
      </c>
      <c r="AF29" s="45">
        <v>672</v>
      </c>
      <c r="AG29" s="45">
        <v>770</v>
      </c>
      <c r="AH29" s="45">
        <v>698</v>
      </c>
      <c r="AI29" s="45">
        <v>689</v>
      </c>
    </row>
    <row r="30" spans="1:35" ht="16" x14ac:dyDescent="0.2">
      <c r="A30" s="193"/>
      <c r="B30" s="225"/>
      <c r="C30" s="225"/>
      <c r="D30" s="225"/>
      <c r="E30" s="225"/>
      <c r="F30" s="225"/>
      <c r="G30" s="6" t="s">
        <v>27</v>
      </c>
      <c r="H30" s="39">
        <v>10</v>
      </c>
      <c r="I30" s="39">
        <v>26</v>
      </c>
      <c r="J30" s="39">
        <v>32</v>
      </c>
      <c r="K30" s="39">
        <v>46</v>
      </c>
      <c r="L30" s="39">
        <v>36</v>
      </c>
      <c r="M30" s="39">
        <v>26</v>
      </c>
      <c r="N30" s="39">
        <v>17</v>
      </c>
      <c r="O30" s="39">
        <v>25</v>
      </c>
      <c r="P30" s="39">
        <v>28</v>
      </c>
      <c r="Q30" s="39">
        <v>15</v>
      </c>
      <c r="R30" s="39">
        <v>20</v>
      </c>
      <c r="S30" s="43">
        <v>17</v>
      </c>
      <c r="T30" s="39">
        <v>24</v>
      </c>
      <c r="U30" s="39">
        <v>14</v>
      </c>
      <c r="V30" s="43">
        <v>28</v>
      </c>
      <c r="W30" s="44">
        <v>24</v>
      </c>
      <c r="X30" s="30">
        <v>31</v>
      </c>
      <c r="Y30" s="30">
        <v>19</v>
      </c>
      <c r="Z30" s="30">
        <v>23</v>
      </c>
      <c r="AA30" s="30">
        <v>21</v>
      </c>
      <c r="AB30" s="45">
        <v>5</v>
      </c>
      <c r="AC30" s="45">
        <v>22</v>
      </c>
      <c r="AD30" s="45">
        <v>18</v>
      </c>
      <c r="AE30" s="45">
        <v>17</v>
      </c>
      <c r="AF30" s="45">
        <v>36</v>
      </c>
      <c r="AG30" s="45">
        <v>28</v>
      </c>
      <c r="AH30" s="45">
        <v>14</v>
      </c>
      <c r="AI30" s="45">
        <v>19</v>
      </c>
    </row>
    <row r="31" spans="1:35" ht="16" x14ac:dyDescent="0.2">
      <c r="A31" s="193"/>
      <c r="B31" s="225"/>
      <c r="C31" s="225"/>
      <c r="D31" s="225"/>
      <c r="E31" s="225"/>
      <c r="F31" s="225"/>
      <c r="G31" s="6" t="s">
        <v>28</v>
      </c>
      <c r="H31" s="46">
        <f t="shared" ref="H31:I31" si="58">1-H30/H29</f>
        <v>0.98587570621468923</v>
      </c>
      <c r="I31" s="46">
        <f t="shared" si="58"/>
        <v>0.97123893805309736</v>
      </c>
      <c r="J31" s="46">
        <f t="shared" ref="J31:K31" si="59">1-J30/J29</f>
        <v>0.95918367346938771</v>
      </c>
      <c r="K31" s="46">
        <f t="shared" si="59"/>
        <v>0.94334975369458129</v>
      </c>
      <c r="L31" s="46">
        <f t="shared" ref="L31:M31" si="60">1-L30/L29</f>
        <v>0.96210526315789469</v>
      </c>
      <c r="M31" s="46">
        <f t="shared" si="60"/>
        <v>0.96758104738154616</v>
      </c>
      <c r="N31" s="46">
        <f t="shared" ref="N31:P31" si="61">1-N30/N29</f>
        <v>0.96914700544464605</v>
      </c>
      <c r="O31" s="46">
        <f t="shared" ref="O31" si="62">1-O30/O29</f>
        <v>0.96679946879150069</v>
      </c>
      <c r="P31" s="46">
        <f t="shared" si="61"/>
        <v>0.96373056994818651</v>
      </c>
      <c r="Q31" s="46">
        <f t="shared" ref="Q31:S31" si="63">1-Q30/Q29</f>
        <v>0.97986577181208057</v>
      </c>
      <c r="R31" s="46">
        <f t="shared" si="63"/>
        <v>0.97076023391812871</v>
      </c>
      <c r="S31" s="47">
        <f t="shared" si="63"/>
        <v>0.97372488408037094</v>
      </c>
      <c r="T31" s="46">
        <f t="shared" ref="T31:W31" si="64">1-T30/T29</f>
        <v>0.96313364055299544</v>
      </c>
      <c r="U31" s="46">
        <f t="shared" si="64"/>
        <v>0.98008534850640117</v>
      </c>
      <c r="V31" s="47">
        <f t="shared" si="64"/>
        <v>0.96363636363636362</v>
      </c>
      <c r="W31" s="48">
        <f t="shared" si="64"/>
        <v>0.96586059743954478</v>
      </c>
      <c r="X31" s="47">
        <f>1-X30/X29</f>
        <v>0.95765027322404372</v>
      </c>
      <c r="Y31" s="47">
        <f t="shared" ref="Y31:AI31" si="65">1-Y30/Y29</f>
        <v>0.96998420221169035</v>
      </c>
      <c r="Z31" s="47">
        <f t="shared" si="65"/>
        <v>0.96247960848287117</v>
      </c>
      <c r="AA31" s="47">
        <f t="shared" si="65"/>
        <v>0.96656050955414008</v>
      </c>
      <c r="AB31" s="47">
        <f t="shared" si="65"/>
        <v>0.99236641221374045</v>
      </c>
      <c r="AC31" s="47">
        <f t="shared" si="65"/>
        <v>0.96411092985318103</v>
      </c>
      <c r="AD31" s="47">
        <f t="shared" si="65"/>
        <v>0.9756756756756757</v>
      </c>
      <c r="AE31" s="47">
        <f t="shared" si="65"/>
        <v>0.96436058700209648</v>
      </c>
      <c r="AF31" s="47">
        <f t="shared" si="65"/>
        <v>0.9464285714285714</v>
      </c>
      <c r="AG31" s="47">
        <f t="shared" si="65"/>
        <v>0.96363636363636362</v>
      </c>
      <c r="AH31" s="47">
        <f t="shared" si="65"/>
        <v>0.97994269340974216</v>
      </c>
      <c r="AI31" s="47">
        <f t="shared" si="65"/>
        <v>0.97242380261248185</v>
      </c>
    </row>
    <row r="32" spans="1:35" ht="16" x14ac:dyDescent="0.2">
      <c r="A32" s="193"/>
      <c r="B32" s="225" t="s">
        <v>32</v>
      </c>
      <c r="C32" s="225"/>
      <c r="D32" s="225"/>
      <c r="E32" s="225"/>
      <c r="F32" s="225"/>
      <c r="G32" s="6" t="s">
        <v>16</v>
      </c>
      <c r="H32" s="39"/>
      <c r="I32" s="39"/>
      <c r="J32" s="39"/>
      <c r="K32" s="39">
        <v>110</v>
      </c>
      <c r="L32" s="39">
        <v>173</v>
      </c>
      <c r="M32" s="39">
        <v>175</v>
      </c>
      <c r="N32" s="39">
        <v>105</v>
      </c>
      <c r="O32" s="39">
        <v>92</v>
      </c>
      <c r="P32" s="39">
        <v>151</v>
      </c>
      <c r="Q32" s="39">
        <v>101</v>
      </c>
      <c r="R32" s="39">
        <v>112</v>
      </c>
      <c r="S32" s="43">
        <v>104</v>
      </c>
      <c r="T32" s="39">
        <v>113</v>
      </c>
      <c r="U32" s="39">
        <v>111</v>
      </c>
      <c r="V32" s="43">
        <v>157</v>
      </c>
      <c r="W32" s="44">
        <v>121</v>
      </c>
      <c r="X32" s="30">
        <v>131</v>
      </c>
      <c r="Y32" s="30">
        <v>126</v>
      </c>
      <c r="Z32" s="30">
        <v>108</v>
      </c>
      <c r="AA32" s="30">
        <v>80</v>
      </c>
      <c r="AB32" s="45">
        <v>146</v>
      </c>
      <c r="AC32" s="45">
        <v>118</v>
      </c>
      <c r="AD32" s="45">
        <v>146</v>
      </c>
      <c r="AE32" s="45">
        <v>85</v>
      </c>
      <c r="AF32" s="45">
        <v>126</v>
      </c>
      <c r="AG32" s="45">
        <v>157</v>
      </c>
      <c r="AH32" s="45">
        <v>141</v>
      </c>
      <c r="AI32" s="45">
        <v>134</v>
      </c>
    </row>
    <row r="33" spans="1:35" ht="16" x14ac:dyDescent="0.2">
      <c r="A33" s="193"/>
      <c r="B33" s="225"/>
      <c r="C33" s="225"/>
      <c r="D33" s="225"/>
      <c r="E33" s="225"/>
      <c r="F33" s="225"/>
      <c r="G33" s="6" t="s">
        <v>27</v>
      </c>
      <c r="H33" s="39"/>
      <c r="I33" s="39"/>
      <c r="J33" s="39"/>
      <c r="K33" s="39">
        <v>11</v>
      </c>
      <c r="L33" s="39">
        <v>26</v>
      </c>
      <c r="M33" s="39">
        <v>76</v>
      </c>
      <c r="N33" s="39">
        <v>27</v>
      </c>
      <c r="O33" s="39">
        <v>19</v>
      </c>
      <c r="P33" s="39">
        <v>29</v>
      </c>
      <c r="Q33" s="39">
        <v>23</v>
      </c>
      <c r="R33" s="39">
        <v>41</v>
      </c>
      <c r="S33" s="43">
        <v>24</v>
      </c>
      <c r="T33" s="39">
        <v>26</v>
      </c>
      <c r="U33" s="39">
        <v>1</v>
      </c>
      <c r="V33" s="43">
        <v>13</v>
      </c>
      <c r="W33" s="44">
        <v>1</v>
      </c>
      <c r="X33" s="30">
        <v>3</v>
      </c>
      <c r="Y33" s="30">
        <v>4</v>
      </c>
      <c r="Z33" s="30">
        <v>4</v>
      </c>
      <c r="AA33" s="30">
        <v>5</v>
      </c>
      <c r="AB33" s="45">
        <v>6</v>
      </c>
      <c r="AC33" s="45">
        <v>8</v>
      </c>
      <c r="AD33" s="45">
        <v>6</v>
      </c>
      <c r="AE33" s="45">
        <v>0</v>
      </c>
      <c r="AF33" s="45">
        <v>6</v>
      </c>
      <c r="AG33" s="45">
        <v>13</v>
      </c>
      <c r="AH33" s="45">
        <v>2</v>
      </c>
      <c r="AI33" s="45">
        <v>1</v>
      </c>
    </row>
    <row r="34" spans="1:35" ht="16" x14ac:dyDescent="0.2">
      <c r="A34" s="193"/>
      <c r="B34" s="225"/>
      <c r="C34" s="225"/>
      <c r="D34" s="225"/>
      <c r="E34" s="225"/>
      <c r="F34" s="225"/>
      <c r="G34" s="6" t="s">
        <v>28</v>
      </c>
      <c r="H34" s="47" t="e">
        <f t="shared" ref="H34:I34" si="66">1-H33/H32</f>
        <v>#DIV/0!</v>
      </c>
      <c r="I34" s="47" t="e">
        <f t="shared" si="66"/>
        <v>#DIV/0!</v>
      </c>
      <c r="J34" s="47" t="e">
        <f t="shared" ref="J34:K34" si="67">1-J33/J32</f>
        <v>#DIV/0!</v>
      </c>
      <c r="K34" s="47">
        <f t="shared" si="67"/>
        <v>0.9</v>
      </c>
      <c r="L34" s="47">
        <f t="shared" ref="L34:M34" si="68">1-L33/L32</f>
        <v>0.8497109826589595</v>
      </c>
      <c r="M34" s="47">
        <f t="shared" si="68"/>
        <v>0.56571428571428573</v>
      </c>
      <c r="N34" s="47">
        <f t="shared" ref="N34:P34" si="69">1-N33/N32</f>
        <v>0.74285714285714288</v>
      </c>
      <c r="O34" s="47">
        <f t="shared" ref="O34" si="70">1-O33/O32</f>
        <v>0.79347826086956519</v>
      </c>
      <c r="P34" s="47">
        <f t="shared" si="69"/>
        <v>0.80794701986754969</v>
      </c>
      <c r="Q34" s="47">
        <f t="shared" ref="Q34:S34" si="71">1-Q33/Q32</f>
        <v>0.7722772277227723</v>
      </c>
      <c r="R34" s="47">
        <f t="shared" si="71"/>
        <v>0.6339285714285714</v>
      </c>
      <c r="S34" s="47">
        <f t="shared" si="71"/>
        <v>0.76923076923076916</v>
      </c>
      <c r="T34" s="47">
        <f t="shared" ref="T34:W34" si="72">1-T33/T32</f>
        <v>0.76991150442477874</v>
      </c>
      <c r="U34" s="48">
        <f t="shared" si="72"/>
        <v>0.99099099099099097</v>
      </c>
      <c r="V34" s="47">
        <f t="shared" si="72"/>
        <v>0.91719745222929938</v>
      </c>
      <c r="W34" s="48">
        <f t="shared" si="72"/>
        <v>0.99173553719008267</v>
      </c>
      <c r="X34" s="47">
        <f>1-X33/X32</f>
        <v>0.97709923664122134</v>
      </c>
      <c r="Y34" s="47">
        <f>1-Y33/Y32</f>
        <v>0.96825396825396826</v>
      </c>
      <c r="Z34" s="47">
        <f t="shared" ref="Z34:AI34" si="73">1-Z33/Z32</f>
        <v>0.96296296296296302</v>
      </c>
      <c r="AA34" s="47">
        <f t="shared" si="73"/>
        <v>0.9375</v>
      </c>
      <c r="AB34" s="47">
        <f t="shared" si="73"/>
        <v>0.95890410958904115</v>
      </c>
      <c r="AC34" s="47">
        <f t="shared" si="73"/>
        <v>0.93220338983050843</v>
      </c>
      <c r="AD34" s="47">
        <f t="shared" si="73"/>
        <v>0.95890410958904115</v>
      </c>
      <c r="AE34" s="47">
        <f t="shared" si="73"/>
        <v>1</v>
      </c>
      <c r="AF34" s="47">
        <f t="shared" si="73"/>
        <v>0.95238095238095233</v>
      </c>
      <c r="AG34" s="47">
        <f t="shared" si="73"/>
        <v>0.91719745222929938</v>
      </c>
      <c r="AH34" s="47">
        <f t="shared" si="73"/>
        <v>0.98581560283687941</v>
      </c>
      <c r="AI34" s="47">
        <f t="shared" si="73"/>
        <v>0.9925373134328358</v>
      </c>
    </row>
    <row r="35" spans="1:35" ht="16" x14ac:dyDescent="0.2">
      <c r="A35" s="193"/>
      <c r="B35" s="225" t="s">
        <v>60</v>
      </c>
      <c r="C35" s="225"/>
      <c r="D35" s="225"/>
      <c r="E35" s="225"/>
      <c r="F35" s="225"/>
      <c r="G35" s="6" t="s">
        <v>16</v>
      </c>
      <c r="H35" s="39"/>
      <c r="I35" s="39"/>
      <c r="J35" s="39"/>
      <c r="K35" s="39">
        <v>381</v>
      </c>
      <c r="L35" s="39">
        <v>400</v>
      </c>
      <c r="M35" s="39">
        <v>251</v>
      </c>
      <c r="N35" s="39">
        <v>267</v>
      </c>
      <c r="O35" s="39">
        <v>455</v>
      </c>
      <c r="P35" s="39">
        <v>396</v>
      </c>
      <c r="Q35" s="39">
        <v>323</v>
      </c>
      <c r="R35" s="261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3"/>
    </row>
    <row r="36" spans="1:35" ht="16" x14ac:dyDescent="0.2">
      <c r="A36" s="193"/>
      <c r="B36" s="225"/>
      <c r="C36" s="225"/>
      <c r="D36" s="225"/>
      <c r="E36" s="225"/>
      <c r="F36" s="225"/>
      <c r="G36" s="6" t="s">
        <v>27</v>
      </c>
      <c r="H36" s="39"/>
      <c r="I36" s="39"/>
      <c r="J36" s="39"/>
      <c r="K36" s="39">
        <v>125</v>
      </c>
      <c r="L36" s="39">
        <v>114</v>
      </c>
      <c r="M36" s="39">
        <v>82</v>
      </c>
      <c r="N36" s="39">
        <v>70</v>
      </c>
      <c r="O36" s="39">
        <v>131</v>
      </c>
      <c r="P36" s="39">
        <v>96</v>
      </c>
      <c r="Q36" s="39">
        <v>122</v>
      </c>
      <c r="R36" s="264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6"/>
    </row>
    <row r="37" spans="1:35" ht="16" x14ac:dyDescent="0.2">
      <c r="A37" s="193"/>
      <c r="B37" s="225"/>
      <c r="C37" s="225"/>
      <c r="D37" s="225"/>
      <c r="E37" s="225"/>
      <c r="F37" s="225"/>
      <c r="G37" s="6" t="s">
        <v>28</v>
      </c>
      <c r="H37" s="47" t="e">
        <f t="shared" ref="H37:I37" si="74">1-H36/H35</f>
        <v>#DIV/0!</v>
      </c>
      <c r="I37" s="47" t="e">
        <f t="shared" si="74"/>
        <v>#DIV/0!</v>
      </c>
      <c r="J37" s="47" t="e">
        <f t="shared" ref="J37:K37" si="75">1-J36/J35</f>
        <v>#DIV/0!</v>
      </c>
      <c r="K37" s="47">
        <f t="shared" si="75"/>
        <v>0.67191601049868765</v>
      </c>
      <c r="L37" s="47">
        <f t="shared" ref="L37:M37" si="76">1-L36/L35</f>
        <v>0.71500000000000008</v>
      </c>
      <c r="M37" s="47">
        <f t="shared" si="76"/>
        <v>0.6733067729083666</v>
      </c>
      <c r="N37" s="47">
        <f t="shared" ref="N37:O37" si="77">1-N36/N35</f>
        <v>0.73782771535580527</v>
      </c>
      <c r="O37" s="47">
        <f t="shared" si="77"/>
        <v>0.71208791208791211</v>
      </c>
      <c r="P37" s="47">
        <f t="shared" ref="P37:Q37" si="78">1-P36/P35</f>
        <v>0.75757575757575757</v>
      </c>
      <c r="Q37" s="47">
        <f t="shared" si="78"/>
        <v>0.62229102167182671</v>
      </c>
      <c r="R37" s="267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9"/>
    </row>
    <row r="38" spans="1:35" ht="19" x14ac:dyDescent="0.2">
      <c r="A38" s="193"/>
      <c r="B38" s="226" t="s">
        <v>33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5"/>
    </row>
    <row r="39" spans="1:35" ht="19" x14ac:dyDescent="0.2">
      <c r="A39" s="193"/>
      <c r="C39" s="29" t="s">
        <v>3</v>
      </c>
      <c r="D39" s="29" t="s">
        <v>14</v>
      </c>
      <c r="E39" s="29" t="s">
        <v>65</v>
      </c>
      <c r="F39" s="29" t="s">
        <v>39</v>
      </c>
      <c r="G39" s="29" t="s">
        <v>34</v>
      </c>
      <c r="H39" s="29" t="s">
        <v>7</v>
      </c>
      <c r="I39" s="29" t="s">
        <v>64</v>
      </c>
      <c r="J39" s="29" t="s">
        <v>9</v>
      </c>
      <c r="K39" s="29" t="s">
        <v>63</v>
      </c>
      <c r="L39" s="29" t="s">
        <v>62</v>
      </c>
      <c r="M39" s="29" t="s">
        <v>36</v>
      </c>
      <c r="N39" s="29" t="s">
        <v>13</v>
      </c>
      <c r="O39" s="29" t="s">
        <v>3</v>
      </c>
      <c r="P39" s="28">
        <v>45689</v>
      </c>
      <c r="Q39" s="28" t="s">
        <v>5</v>
      </c>
      <c r="R39" s="28">
        <v>45627</v>
      </c>
      <c r="S39" s="29" t="s">
        <v>34</v>
      </c>
      <c r="T39" s="29" t="s">
        <v>7</v>
      </c>
      <c r="U39" s="29" t="s">
        <v>8</v>
      </c>
      <c r="V39" s="29" t="s">
        <v>9</v>
      </c>
      <c r="W39" s="29" t="s">
        <v>35</v>
      </c>
      <c r="X39" s="29" t="s">
        <v>11</v>
      </c>
      <c r="Y39" s="29" t="s">
        <v>36</v>
      </c>
      <c r="Z39" s="29" t="s">
        <v>13</v>
      </c>
      <c r="AA39" s="29" t="s">
        <v>3</v>
      </c>
      <c r="AB39" s="29" t="s">
        <v>14</v>
      </c>
      <c r="AC39" s="127"/>
      <c r="AD39" s="127"/>
      <c r="AE39" s="127"/>
      <c r="AF39" s="127"/>
      <c r="AG39" s="127"/>
      <c r="AH39" s="127"/>
      <c r="AI39" s="128"/>
    </row>
    <row r="40" spans="1:35" ht="16" x14ac:dyDescent="0.2">
      <c r="A40" s="193"/>
      <c r="C40">
        <v>4.33</v>
      </c>
      <c r="D40">
        <v>4.51</v>
      </c>
      <c r="E40">
        <v>4.41</v>
      </c>
      <c r="F40">
        <v>4.43</v>
      </c>
      <c r="G40" s="44">
        <v>4.33</v>
      </c>
      <c r="H40" s="44">
        <v>4.43</v>
      </c>
      <c r="I40">
        <v>4.49</v>
      </c>
      <c r="J40">
        <v>4.54</v>
      </c>
      <c r="K40">
        <v>4.53</v>
      </c>
      <c r="L40">
        <v>4.42</v>
      </c>
      <c r="M40">
        <v>4.46</v>
      </c>
      <c r="N40">
        <v>4.42</v>
      </c>
      <c r="O40">
        <v>4.42</v>
      </c>
      <c r="P40" s="26">
        <v>4.46</v>
      </c>
      <c r="Q40" s="44">
        <v>4.37</v>
      </c>
      <c r="R40" s="30">
        <v>4.53</v>
      </c>
      <c r="S40" s="30">
        <v>4.47</v>
      </c>
      <c r="T40" s="44">
        <v>4.49</v>
      </c>
      <c r="U40" s="30">
        <v>4.4000000000000004</v>
      </c>
      <c r="V40" s="30">
        <v>4.49</v>
      </c>
      <c r="W40" s="30">
        <v>4.4000000000000004</v>
      </c>
      <c r="X40" s="30">
        <v>4.42</v>
      </c>
      <c r="Y40" s="30">
        <v>4.5</v>
      </c>
      <c r="Z40" s="30" t="s">
        <v>37</v>
      </c>
      <c r="AA40" s="30">
        <v>4.51</v>
      </c>
      <c r="AB40" s="30">
        <v>4.57</v>
      </c>
      <c r="AC40" s="129"/>
      <c r="AD40" s="129"/>
      <c r="AE40" s="129"/>
      <c r="AF40" s="129"/>
      <c r="AG40" s="129"/>
      <c r="AH40" s="129"/>
      <c r="AI40" s="130"/>
    </row>
    <row r="41" spans="1:35" ht="19" x14ac:dyDescent="0.2">
      <c r="A41" s="193"/>
      <c r="B41" s="181" t="s">
        <v>38</v>
      </c>
      <c r="C41" s="276"/>
      <c r="D41" s="27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190"/>
    </row>
    <row r="42" spans="1:35" ht="19" x14ac:dyDescent="0.2">
      <c r="A42" s="193"/>
      <c r="B42" s="49"/>
      <c r="C42" s="29" t="s">
        <v>40</v>
      </c>
      <c r="D42" s="29" t="s">
        <v>3</v>
      </c>
      <c r="E42" s="29" t="s">
        <v>14</v>
      </c>
      <c r="F42" s="29" t="s">
        <v>65</v>
      </c>
      <c r="G42" s="29" t="s">
        <v>39</v>
      </c>
      <c r="H42" s="29" t="s">
        <v>34</v>
      </c>
      <c r="I42" s="29" t="s">
        <v>7</v>
      </c>
      <c r="J42" s="29" t="s">
        <v>64</v>
      </c>
      <c r="K42" s="50" t="s">
        <v>9</v>
      </c>
      <c r="L42" s="50" t="s">
        <v>35</v>
      </c>
      <c r="M42" s="50" t="s">
        <v>11</v>
      </c>
      <c r="N42" s="50" t="s">
        <v>12</v>
      </c>
      <c r="O42" s="29" t="s">
        <v>13</v>
      </c>
      <c r="P42" s="28" t="s">
        <v>3</v>
      </c>
      <c r="Q42" s="28" t="s">
        <v>4</v>
      </c>
      <c r="R42" s="28" t="s">
        <v>5</v>
      </c>
      <c r="S42" s="29"/>
      <c r="T42" s="29"/>
      <c r="U42" s="29"/>
      <c r="V42" s="29"/>
      <c r="W42" s="29"/>
      <c r="AA42" s="270"/>
      <c r="AB42" s="271"/>
      <c r="AC42" s="227"/>
      <c r="AD42" s="228"/>
      <c r="AE42" s="228"/>
      <c r="AF42" s="228"/>
      <c r="AG42" s="228"/>
      <c r="AH42" s="228"/>
      <c r="AI42" s="229"/>
    </row>
    <row r="43" spans="1:35" ht="16" x14ac:dyDescent="0.2">
      <c r="A43" s="193"/>
      <c r="B43" s="52">
        <v>2024</v>
      </c>
      <c r="C43" s="53"/>
      <c r="D43" s="57"/>
      <c r="E43" s="53"/>
      <c r="F43" s="57"/>
      <c r="G43" s="55">
        <v>0.90900000000000003</v>
      </c>
      <c r="H43" s="54">
        <v>0.90600000000000003</v>
      </c>
      <c r="I43" s="54">
        <v>0.90500000000000003</v>
      </c>
      <c r="J43" s="54">
        <v>0.876</v>
      </c>
      <c r="K43" s="54">
        <v>0.89100000000000001</v>
      </c>
      <c r="L43" s="54">
        <v>0.89800000000000002</v>
      </c>
      <c r="M43" s="54">
        <v>0.92600000000000005</v>
      </c>
      <c r="N43" s="54">
        <v>0.93600000000000005</v>
      </c>
      <c r="O43" s="53">
        <v>0.90200000000000002</v>
      </c>
      <c r="P43" s="53">
        <v>0.89600000000000002</v>
      </c>
      <c r="Q43" s="53">
        <v>0.878</v>
      </c>
      <c r="R43" s="54">
        <v>0.86699999999999999</v>
      </c>
      <c r="S43" s="55"/>
      <c r="T43" s="54"/>
      <c r="U43" s="54"/>
      <c r="V43" s="54"/>
      <c r="W43" s="54"/>
      <c r="AA43" s="272"/>
      <c r="AB43" s="273"/>
      <c r="AC43" s="230"/>
      <c r="AD43" s="231"/>
      <c r="AE43" s="231"/>
      <c r="AF43" s="231"/>
      <c r="AG43" s="231"/>
      <c r="AH43" s="231"/>
      <c r="AI43" s="232"/>
    </row>
    <row r="44" spans="1:35" ht="16" x14ac:dyDescent="0.2">
      <c r="A44" s="193"/>
      <c r="B44" s="52" t="s">
        <v>66</v>
      </c>
      <c r="C44" s="54">
        <v>0.88300000000000001</v>
      </c>
      <c r="D44" s="54">
        <v>0.88300000000000001</v>
      </c>
      <c r="E44" s="54">
        <v>0.89100000000000001</v>
      </c>
      <c r="F44" s="54">
        <v>0.872</v>
      </c>
      <c r="G44" s="54">
        <v>0.90400000000000003</v>
      </c>
      <c r="H44" s="54">
        <v>0.879</v>
      </c>
      <c r="I44" s="54">
        <v>0.94499999999999995</v>
      </c>
      <c r="J44" s="54">
        <v>0.88300000000000001</v>
      </c>
      <c r="K44" s="53">
        <v>0.9</v>
      </c>
      <c r="L44" s="53">
        <v>0.90500000000000003</v>
      </c>
      <c r="M44" s="53">
        <v>0.91100000000000003</v>
      </c>
      <c r="N44" s="57">
        <v>0.89700000000000002</v>
      </c>
      <c r="O44" s="53">
        <v>0.86399999999999999</v>
      </c>
      <c r="P44" s="53">
        <v>0.91100000000000003</v>
      </c>
      <c r="Q44" s="53">
        <v>0.88500000000000001</v>
      </c>
      <c r="R44" s="57">
        <v>0.89800000000000002</v>
      </c>
      <c r="S44" s="55"/>
      <c r="T44" s="54"/>
      <c r="U44" s="54"/>
      <c r="V44" s="54"/>
      <c r="W44" s="54"/>
      <c r="AA44" s="274"/>
      <c r="AB44" s="275"/>
      <c r="AC44" s="233"/>
      <c r="AD44" s="234"/>
      <c r="AE44" s="234"/>
      <c r="AF44" s="234"/>
      <c r="AG44" s="234"/>
      <c r="AH44" s="234"/>
      <c r="AI44" s="235"/>
    </row>
    <row r="45" spans="1:35" ht="18.75" customHeight="1" x14ac:dyDescent="0.2">
      <c r="A45" s="193" t="s">
        <v>1</v>
      </c>
      <c r="B45" s="194" t="s">
        <v>41</v>
      </c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5"/>
      <c r="AF45" s="196"/>
      <c r="AG45" s="197"/>
      <c r="AH45" s="197"/>
      <c r="AI45" s="198"/>
    </row>
    <row r="46" spans="1:35" ht="20" thickBot="1" x14ac:dyDescent="0.25">
      <c r="A46" s="193"/>
      <c r="B46" s="205" t="s">
        <v>42</v>
      </c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7"/>
      <c r="AC46" s="207"/>
      <c r="AD46" s="207"/>
      <c r="AE46" s="208"/>
      <c r="AF46" s="199"/>
      <c r="AG46" s="200"/>
      <c r="AH46" s="200"/>
      <c r="AI46" s="201"/>
    </row>
    <row r="47" spans="1:35" ht="19" x14ac:dyDescent="0.2">
      <c r="A47" s="193"/>
      <c r="B47" s="153"/>
      <c r="C47" s="155" t="s">
        <v>3</v>
      </c>
      <c r="D47" s="155" t="s">
        <v>4</v>
      </c>
      <c r="E47" s="154" t="s">
        <v>5</v>
      </c>
      <c r="F47" s="155" t="s">
        <v>39</v>
      </c>
      <c r="G47" s="156" t="s">
        <v>34</v>
      </c>
      <c r="H47" s="156" t="s">
        <v>7</v>
      </c>
      <c r="I47" s="156" t="s">
        <v>8</v>
      </c>
      <c r="J47" s="157" t="s">
        <v>9</v>
      </c>
      <c r="K47" s="157" t="s">
        <v>35</v>
      </c>
      <c r="L47" s="157" t="s">
        <v>43</v>
      </c>
      <c r="M47" s="157" t="s">
        <v>36</v>
      </c>
      <c r="N47" s="157" t="s">
        <v>40</v>
      </c>
      <c r="O47" s="155" t="s">
        <v>3</v>
      </c>
      <c r="P47" s="155" t="s">
        <v>4</v>
      </c>
      <c r="Q47" s="155" t="s">
        <v>5</v>
      </c>
      <c r="R47" s="158"/>
      <c r="S47" s="74"/>
      <c r="T47" s="74"/>
      <c r="U47" s="74"/>
      <c r="V47" s="150"/>
      <c r="W47" s="150"/>
      <c r="X47" s="150"/>
      <c r="Y47" s="150"/>
      <c r="Z47" s="150"/>
      <c r="AA47" s="151"/>
      <c r="AB47" s="209"/>
      <c r="AC47" s="209"/>
      <c r="AD47" s="209"/>
      <c r="AE47" s="210"/>
      <c r="AF47" s="199"/>
      <c r="AG47" s="200"/>
      <c r="AH47" s="200"/>
      <c r="AI47" s="201"/>
    </row>
    <row r="48" spans="1:35" ht="16" x14ac:dyDescent="0.2">
      <c r="A48" s="193"/>
      <c r="B48" s="165" t="s">
        <v>67</v>
      </c>
      <c r="C48" s="62">
        <v>2380743.56</v>
      </c>
      <c r="D48" s="62">
        <v>2180306.94</v>
      </c>
      <c r="E48" s="159">
        <v>2287694.37</v>
      </c>
      <c r="F48" s="62">
        <v>2436630.23</v>
      </c>
      <c r="G48" s="62">
        <v>2343343.94</v>
      </c>
      <c r="H48" s="62">
        <v>1468048.57</v>
      </c>
      <c r="I48" s="62">
        <v>2058621.68</v>
      </c>
      <c r="J48" s="62">
        <v>1944815.36</v>
      </c>
      <c r="K48" s="62">
        <v>2339999.92</v>
      </c>
      <c r="L48" s="62">
        <v>1727367.75</v>
      </c>
      <c r="M48" s="62">
        <v>2093271.82</v>
      </c>
      <c r="N48" s="62">
        <v>1517854.26</v>
      </c>
      <c r="O48" s="62">
        <v>1943183.68</v>
      </c>
      <c r="P48" s="62">
        <v>1806219.88</v>
      </c>
      <c r="Q48" s="63">
        <v>2044074.21</v>
      </c>
      <c r="R48" s="160"/>
      <c r="S48" s="136"/>
      <c r="T48" s="136"/>
      <c r="U48" s="136"/>
      <c r="V48" s="136"/>
      <c r="W48" s="136"/>
      <c r="X48" s="136"/>
      <c r="Y48" s="136"/>
      <c r="Z48" s="136"/>
      <c r="AA48" s="136"/>
      <c r="AB48" s="211"/>
      <c r="AC48" s="211"/>
      <c r="AD48" s="211"/>
      <c r="AE48" s="212"/>
      <c r="AF48" s="199"/>
      <c r="AG48" s="200"/>
      <c r="AH48" s="200"/>
      <c r="AI48" s="201"/>
    </row>
    <row r="49" spans="1:42" ht="16" x14ac:dyDescent="0.2">
      <c r="A49" s="193"/>
      <c r="B49" s="61" t="s">
        <v>66</v>
      </c>
      <c r="C49" s="62">
        <v>3068658.86</v>
      </c>
      <c r="D49" s="62">
        <v>3239170.48</v>
      </c>
      <c r="E49" s="159">
        <v>2788102.94</v>
      </c>
      <c r="F49" s="62">
        <v>3083743.54</v>
      </c>
      <c r="G49" s="62">
        <v>3150400.3</v>
      </c>
      <c r="H49" s="62">
        <v>2366487</v>
      </c>
      <c r="I49" s="62">
        <v>2653505.12</v>
      </c>
      <c r="J49" s="62">
        <v>2821991.43</v>
      </c>
      <c r="K49" s="62">
        <v>2602337.04</v>
      </c>
      <c r="L49" s="62">
        <v>2229828.84</v>
      </c>
      <c r="M49" s="62">
        <v>2251708.1800000002</v>
      </c>
      <c r="N49" s="63">
        <v>1994065</v>
      </c>
      <c r="O49" s="62">
        <v>2380743.56</v>
      </c>
      <c r="P49" s="62">
        <v>2180306.94</v>
      </c>
      <c r="Q49" s="63">
        <v>2287694.37</v>
      </c>
      <c r="R49" s="160"/>
      <c r="S49" s="136"/>
      <c r="T49" s="136"/>
      <c r="U49" s="136"/>
      <c r="V49" s="136"/>
      <c r="W49" s="136"/>
      <c r="X49" s="136"/>
      <c r="Y49" s="136"/>
      <c r="Z49" s="136"/>
      <c r="AA49" s="136"/>
      <c r="AB49" s="211"/>
      <c r="AC49" s="211"/>
      <c r="AD49" s="211"/>
      <c r="AE49" s="212"/>
      <c r="AF49" s="199"/>
      <c r="AG49" s="200"/>
      <c r="AH49" s="200"/>
      <c r="AI49" s="201"/>
    </row>
    <row r="50" spans="1:42" ht="17" thickBot="1" x14ac:dyDescent="0.25">
      <c r="A50" s="193"/>
      <c r="B50" s="56" t="s">
        <v>61</v>
      </c>
      <c r="C50" s="163">
        <f>(C49-C48)/C48</f>
        <v>0.2889497682816371</v>
      </c>
      <c r="D50" s="163">
        <f t="shared" ref="D50" si="79">(D49-D48)/D48</f>
        <v>0.4856488417176712</v>
      </c>
      <c r="E50" s="161">
        <f>(E49-E48)/E48</f>
        <v>0.21873925842637792</v>
      </c>
      <c r="F50" s="162">
        <f>(F49-F48)/F48</f>
        <v>0.26557714914338892</v>
      </c>
      <c r="G50" s="162">
        <f>(G49-G48)/G48</f>
        <v>0.34440371565771943</v>
      </c>
      <c r="H50" s="162">
        <f>(H49-H48)/H48</f>
        <v>0.61199503092734864</v>
      </c>
      <c r="I50" s="162">
        <f>(I49-I48)/I48</f>
        <v>0.28897171626017276</v>
      </c>
      <c r="J50" s="162">
        <f t="shared" ref="J50" si="80">(J49-J48)/J48</f>
        <v>0.45103308418954485</v>
      </c>
      <c r="K50" s="163">
        <f>(K49-K48)/K48</f>
        <v>0.11210988417469694</v>
      </c>
      <c r="L50" s="163">
        <f>(L49-L48)/L48</f>
        <v>0.29088252342328369</v>
      </c>
      <c r="M50" s="163">
        <f t="shared" ref="M50" si="81">(M49-M48)/M48</f>
        <v>7.5688383365329071E-2</v>
      </c>
      <c r="N50" s="162">
        <f>(N49-N48)/N48</f>
        <v>0.31373943635405416</v>
      </c>
      <c r="O50" s="163">
        <f>(O49-O48)/O48</f>
        <v>0.22517679852066283</v>
      </c>
      <c r="P50" s="163">
        <f t="shared" ref="P50" si="82">(P49-P48)/P48</f>
        <v>0.20711047649414649</v>
      </c>
      <c r="Q50" s="162">
        <f>(Q49-Q48)/Q48</f>
        <v>0.11918361809378739</v>
      </c>
      <c r="R50" s="164"/>
      <c r="S50" s="149"/>
      <c r="T50" s="149"/>
      <c r="U50" s="149"/>
      <c r="V50" s="149"/>
      <c r="W50" s="149"/>
      <c r="X50" s="149"/>
      <c r="Y50" s="149"/>
      <c r="Z50" s="149"/>
      <c r="AA50" s="149"/>
      <c r="AB50" s="213"/>
      <c r="AC50" s="213"/>
      <c r="AD50" s="213"/>
      <c r="AE50" s="214"/>
      <c r="AF50" s="199"/>
      <c r="AG50" s="200"/>
      <c r="AH50" s="200"/>
      <c r="AI50" s="201"/>
    </row>
    <row r="51" spans="1:42" ht="20" thickBot="1" x14ac:dyDescent="0.25">
      <c r="A51" s="193"/>
      <c r="B51" s="215" t="s">
        <v>44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5"/>
      <c r="AC51" s="215"/>
      <c r="AD51" s="215"/>
      <c r="AE51" s="215"/>
      <c r="AF51" s="199"/>
      <c r="AG51" s="200"/>
      <c r="AH51" s="200"/>
      <c r="AI51" s="201"/>
    </row>
    <row r="52" spans="1:42" ht="19" x14ac:dyDescent="0.2">
      <c r="A52" s="193"/>
      <c r="B52" s="109"/>
      <c r="C52" s="155" t="s">
        <v>3</v>
      </c>
      <c r="D52" s="156" t="s">
        <v>4</v>
      </c>
      <c r="E52" s="154" t="s">
        <v>5</v>
      </c>
      <c r="F52" s="156" t="s">
        <v>39</v>
      </c>
      <c r="G52" s="156" t="s">
        <v>34</v>
      </c>
      <c r="H52" s="156" t="s">
        <v>7</v>
      </c>
      <c r="I52" s="156" t="s">
        <v>8</v>
      </c>
      <c r="J52" s="156" t="s">
        <v>9</v>
      </c>
      <c r="K52" s="157" t="s">
        <v>35</v>
      </c>
      <c r="L52" s="157" t="s">
        <v>43</v>
      </c>
      <c r="M52" s="157" t="s">
        <v>36</v>
      </c>
      <c r="N52" s="157" t="s">
        <v>40</v>
      </c>
      <c r="O52" s="155" t="s">
        <v>3</v>
      </c>
      <c r="P52" s="156" t="s">
        <v>4</v>
      </c>
      <c r="Q52" s="155" t="s">
        <v>5</v>
      </c>
      <c r="R52" s="166"/>
      <c r="S52" s="74"/>
      <c r="T52" s="74"/>
      <c r="U52" s="74"/>
      <c r="V52" s="74"/>
      <c r="W52" s="150"/>
      <c r="X52" s="150"/>
      <c r="Y52" s="150"/>
      <c r="Z52" s="150"/>
      <c r="AA52" s="151"/>
      <c r="AB52" s="209"/>
      <c r="AC52" s="209"/>
      <c r="AD52" s="209"/>
      <c r="AE52" s="210"/>
      <c r="AF52" s="199"/>
      <c r="AG52" s="200"/>
      <c r="AH52" s="200"/>
      <c r="AI52" s="201"/>
    </row>
    <row r="53" spans="1:42" ht="16" x14ac:dyDescent="0.2">
      <c r="A53" s="193"/>
      <c r="B53" s="165" t="s">
        <v>67</v>
      </c>
      <c r="C53" s="66">
        <v>9031</v>
      </c>
      <c r="D53" s="66">
        <v>7856</v>
      </c>
      <c r="E53" s="167">
        <v>8784</v>
      </c>
      <c r="F53" s="66">
        <v>9150</v>
      </c>
      <c r="G53" s="66">
        <v>8844</v>
      </c>
      <c r="H53" s="66">
        <v>5703</v>
      </c>
      <c r="I53" s="66">
        <v>8592</v>
      </c>
      <c r="J53" s="66">
        <v>8321</v>
      </c>
      <c r="K53" s="66">
        <v>8728</v>
      </c>
      <c r="L53" s="66">
        <v>6875</v>
      </c>
      <c r="M53" s="66">
        <v>8569</v>
      </c>
      <c r="N53" s="66">
        <v>6336</v>
      </c>
      <c r="O53" s="66">
        <v>7555</v>
      </c>
      <c r="P53" s="66">
        <v>7323</v>
      </c>
      <c r="Q53" s="67">
        <v>8359</v>
      </c>
      <c r="R53" s="168"/>
      <c r="S53" s="137"/>
      <c r="T53" s="137"/>
      <c r="U53" s="137"/>
      <c r="V53" s="137"/>
      <c r="W53" s="137"/>
      <c r="X53" s="137"/>
      <c r="Y53" s="137"/>
      <c r="Z53" s="137"/>
      <c r="AA53" s="137"/>
      <c r="AB53" s="211"/>
      <c r="AC53" s="211"/>
      <c r="AD53" s="211"/>
      <c r="AE53" s="212"/>
      <c r="AF53" s="199"/>
      <c r="AG53" s="200"/>
      <c r="AH53" s="200"/>
      <c r="AI53" s="201"/>
    </row>
    <row r="54" spans="1:42" ht="16" x14ac:dyDescent="0.2">
      <c r="A54" s="193"/>
      <c r="B54" s="61" t="s">
        <v>66</v>
      </c>
      <c r="C54" s="66">
        <v>10238</v>
      </c>
      <c r="D54" s="66">
        <v>10162</v>
      </c>
      <c r="E54" s="167">
        <v>9605</v>
      </c>
      <c r="F54" s="66">
        <v>10456</v>
      </c>
      <c r="G54" s="66">
        <v>10471</v>
      </c>
      <c r="H54" s="66">
        <v>7857</v>
      </c>
      <c r="I54" s="66">
        <v>8832</v>
      </c>
      <c r="J54" s="66">
        <v>9700</v>
      </c>
      <c r="K54" s="66">
        <v>9550</v>
      </c>
      <c r="L54" s="66">
        <v>8736</v>
      </c>
      <c r="M54" s="66">
        <v>9143</v>
      </c>
      <c r="N54" s="67">
        <v>7429</v>
      </c>
      <c r="O54" s="66">
        <v>9031</v>
      </c>
      <c r="P54" s="66">
        <v>7856</v>
      </c>
      <c r="Q54" s="67">
        <v>8784</v>
      </c>
      <c r="R54" s="168"/>
      <c r="S54" s="137"/>
      <c r="T54" s="137"/>
      <c r="U54" s="137"/>
      <c r="V54" s="137"/>
      <c r="W54" s="137"/>
      <c r="X54" s="137"/>
      <c r="Y54" s="137"/>
      <c r="Z54" s="137"/>
      <c r="AA54" s="137"/>
      <c r="AB54" s="211"/>
      <c r="AC54" s="211"/>
      <c r="AD54" s="211"/>
      <c r="AE54" s="212"/>
      <c r="AF54" s="199"/>
      <c r="AG54" s="200"/>
      <c r="AH54" s="200"/>
      <c r="AI54" s="201"/>
    </row>
    <row r="55" spans="1:42" ht="17" thickBot="1" x14ac:dyDescent="0.25">
      <c r="A55" s="193"/>
      <c r="B55" s="56" t="s">
        <v>61</v>
      </c>
      <c r="C55" s="163">
        <f>(C54-C53)/C53</f>
        <v>0.13365075849850516</v>
      </c>
      <c r="D55" s="163">
        <f t="shared" ref="D55" si="83">(D54-D53)/D53</f>
        <v>0.29353360488798369</v>
      </c>
      <c r="E55" s="169">
        <f>(E54-E53)/E53</f>
        <v>9.3465391621129323E-2</v>
      </c>
      <c r="F55" s="163">
        <f t="shared" ref="F55" si="84">(F54-F53)/F53</f>
        <v>0.14273224043715846</v>
      </c>
      <c r="G55" s="163">
        <f>(G54-G53)/G53</f>
        <v>0.18396653098145635</v>
      </c>
      <c r="H55" s="163">
        <f>(H54-H53)/H53</f>
        <v>0.37769594950026303</v>
      </c>
      <c r="I55" s="163">
        <f>(I54-I53)/I53</f>
        <v>2.7932960893854747E-2</v>
      </c>
      <c r="J55" s="170">
        <f>(J54-J53)/J53</f>
        <v>0.16572527340463886</v>
      </c>
      <c r="K55" s="163">
        <f>(K54-K53)/K53</f>
        <v>9.4179651695692021E-2</v>
      </c>
      <c r="L55" s="163">
        <f t="shared" ref="L55" si="85">(L54-L53)/L53</f>
        <v>0.27069090909090909</v>
      </c>
      <c r="M55" s="163">
        <f t="shared" ref="M55" si="86">(M54-M53)/M53</f>
        <v>6.6985645933014357E-2</v>
      </c>
      <c r="N55" s="171">
        <f>(N54-N53)/N53</f>
        <v>0.17250631313131312</v>
      </c>
      <c r="O55" s="163">
        <f>(O54-O53)/O53</f>
        <v>0.19536730641958969</v>
      </c>
      <c r="P55" s="163">
        <f t="shared" ref="P55" si="87">(P54-P53)/P53</f>
        <v>7.2784377987163737E-2</v>
      </c>
      <c r="Q55" s="171">
        <f>(Q54-Q53)/Q53</f>
        <v>5.0843402320851779E-2</v>
      </c>
      <c r="R55" s="172"/>
      <c r="S55" s="149"/>
      <c r="T55" s="149"/>
      <c r="U55" s="149"/>
      <c r="V55" s="152"/>
      <c r="W55" s="152"/>
      <c r="X55" s="152"/>
      <c r="Y55" s="152"/>
      <c r="Z55" s="152"/>
      <c r="AA55" s="152"/>
      <c r="AB55" s="213"/>
      <c r="AC55" s="213"/>
      <c r="AD55" s="213"/>
      <c r="AE55" s="214"/>
      <c r="AF55" s="199"/>
      <c r="AG55" s="200"/>
      <c r="AH55" s="200"/>
      <c r="AI55" s="201"/>
    </row>
    <row r="56" spans="1:42" ht="19" x14ac:dyDescent="0.2">
      <c r="A56" s="193"/>
      <c r="B56" s="194" t="s">
        <v>45</v>
      </c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194"/>
      <c r="AC56" s="194"/>
      <c r="AD56" s="194"/>
      <c r="AE56" s="195"/>
      <c r="AF56" s="199"/>
      <c r="AG56" s="200"/>
      <c r="AH56" s="200"/>
      <c r="AI56" s="201"/>
    </row>
    <row r="57" spans="1:42" ht="19" x14ac:dyDescent="0.2">
      <c r="A57" s="193"/>
      <c r="B57" s="205" t="s">
        <v>46</v>
      </c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7"/>
      <c r="AD57" s="207"/>
      <c r="AE57" s="208"/>
      <c r="AF57" s="199"/>
      <c r="AG57" s="200"/>
      <c r="AH57" s="200"/>
      <c r="AI57" s="201"/>
    </row>
    <row r="58" spans="1:42" ht="19" x14ac:dyDescent="0.2">
      <c r="A58" s="193"/>
      <c r="B58" s="68"/>
      <c r="C58" s="65" t="s">
        <v>13</v>
      </c>
      <c r="D58" s="65" t="s">
        <v>3</v>
      </c>
      <c r="E58" s="65" t="s">
        <v>4</v>
      </c>
      <c r="F58" s="142" t="s">
        <v>5</v>
      </c>
      <c r="G58" s="65" t="s">
        <v>39</v>
      </c>
      <c r="H58" s="65" t="s">
        <v>34</v>
      </c>
      <c r="I58" s="65" t="s">
        <v>7</v>
      </c>
      <c r="J58" s="65" t="s">
        <v>8</v>
      </c>
      <c r="K58" s="58" t="s">
        <v>9</v>
      </c>
      <c r="L58" s="58" t="s">
        <v>35</v>
      </c>
      <c r="M58" s="58" t="s">
        <v>11</v>
      </c>
      <c r="N58" s="58" t="s">
        <v>12</v>
      </c>
      <c r="O58" s="65" t="s">
        <v>13</v>
      </c>
      <c r="P58" s="65" t="s">
        <v>3</v>
      </c>
      <c r="Q58" s="65"/>
      <c r="R58" s="142"/>
      <c r="S58" s="133"/>
      <c r="T58" s="133"/>
      <c r="W58" s="133"/>
      <c r="AA58" s="134"/>
      <c r="AB58" s="135"/>
      <c r="AC58" s="176"/>
      <c r="AD58" s="176"/>
      <c r="AE58" s="176"/>
      <c r="AF58" s="199"/>
      <c r="AG58" s="200"/>
      <c r="AH58" s="200"/>
      <c r="AI58" s="201"/>
    </row>
    <row r="59" spans="1:42" ht="19" x14ac:dyDescent="0.2">
      <c r="A59" s="193"/>
      <c r="B59" s="69" t="s">
        <v>67</v>
      </c>
      <c r="C59" s="62">
        <v>5460248</v>
      </c>
      <c r="D59" s="62">
        <v>5518132</v>
      </c>
      <c r="E59" s="62">
        <v>4778641</v>
      </c>
      <c r="F59" s="85">
        <v>5010019</v>
      </c>
      <c r="G59" s="62">
        <v>5759403</v>
      </c>
      <c r="H59" s="62">
        <v>4480414</v>
      </c>
      <c r="I59" s="62">
        <v>4128698</v>
      </c>
      <c r="J59" s="62">
        <v>5393593</v>
      </c>
      <c r="K59" s="62">
        <v>4900833</v>
      </c>
      <c r="L59" s="62">
        <v>4737229</v>
      </c>
      <c r="M59" s="62">
        <v>4442438</v>
      </c>
      <c r="N59" s="62">
        <v>5318431</v>
      </c>
      <c r="O59" s="62">
        <v>3820346</v>
      </c>
      <c r="P59" s="62">
        <v>4884852</v>
      </c>
      <c r="Q59" s="62"/>
      <c r="R59" s="85"/>
      <c r="S59" s="136"/>
      <c r="T59" s="136"/>
      <c r="U59" s="141"/>
      <c r="V59" s="141"/>
      <c r="W59" s="136"/>
      <c r="AA59" s="136"/>
      <c r="AB59" s="136"/>
      <c r="AC59" s="177"/>
      <c r="AD59" s="177"/>
      <c r="AE59" s="177"/>
      <c r="AF59" s="199"/>
      <c r="AG59" s="200"/>
      <c r="AH59" s="200"/>
      <c r="AI59" s="201"/>
      <c r="AJ59" s="58"/>
      <c r="AK59" s="58"/>
      <c r="AL59" s="58"/>
      <c r="AM59" s="65"/>
      <c r="AN59" s="65"/>
      <c r="AO59" s="65"/>
      <c r="AP59" s="59"/>
    </row>
    <row r="60" spans="1:42" ht="16" x14ac:dyDescent="0.2">
      <c r="A60" s="193"/>
      <c r="B60" s="69" t="s">
        <v>66</v>
      </c>
      <c r="C60" s="62">
        <v>6079850</v>
      </c>
      <c r="D60" s="62">
        <v>7136642</v>
      </c>
      <c r="E60" s="62">
        <v>6018634</v>
      </c>
      <c r="F60" s="85">
        <v>5643741</v>
      </c>
      <c r="G60" s="62">
        <v>6973637</v>
      </c>
      <c r="H60" s="62">
        <v>6161404</v>
      </c>
      <c r="I60" s="62">
        <v>4560883</v>
      </c>
      <c r="J60" s="62">
        <v>6219093</v>
      </c>
      <c r="K60" s="62">
        <v>6051574</v>
      </c>
      <c r="L60" s="62">
        <v>5698997</v>
      </c>
      <c r="M60" s="62">
        <v>5358684</v>
      </c>
      <c r="N60" s="62">
        <v>5885277</v>
      </c>
      <c r="O60" s="62">
        <v>5460248</v>
      </c>
      <c r="P60" s="62">
        <v>5518132</v>
      </c>
      <c r="Q60" s="62"/>
      <c r="R60" s="85"/>
      <c r="S60" s="136"/>
      <c r="T60" s="147"/>
      <c r="U60" s="141"/>
      <c r="V60" s="141"/>
      <c r="W60" s="136"/>
      <c r="AA60" s="136"/>
      <c r="AB60" s="136"/>
      <c r="AC60" s="178"/>
      <c r="AD60" s="178"/>
      <c r="AE60" s="178"/>
      <c r="AF60" s="199"/>
      <c r="AG60" s="200"/>
      <c r="AH60" s="200"/>
      <c r="AI60" s="201"/>
      <c r="AJ60" s="122"/>
      <c r="AK60" s="122"/>
      <c r="AL60" s="122"/>
      <c r="AM60" s="122"/>
      <c r="AN60" s="122"/>
      <c r="AO60" s="122"/>
      <c r="AP60" s="122"/>
    </row>
    <row r="61" spans="1:42" ht="16" x14ac:dyDescent="0.2">
      <c r="A61" s="193"/>
      <c r="B61" s="56" t="s">
        <v>61</v>
      </c>
      <c r="C61" s="114">
        <f t="shared" ref="C61:D61" si="88">(C60-C59)/C59</f>
        <v>0.1134750656014159</v>
      </c>
      <c r="D61" s="114">
        <f t="shared" si="88"/>
        <v>0.29330759032223225</v>
      </c>
      <c r="E61" s="114">
        <f t="shared" ref="E61" si="89">(E60-E59)/E59</f>
        <v>0.259486536025619</v>
      </c>
      <c r="F61" s="143">
        <f>(F60-F59)/F59</f>
        <v>0.12649093745951862</v>
      </c>
      <c r="G61" s="132">
        <f>(G60-G59)/G59</f>
        <v>0.21082636516319486</v>
      </c>
      <c r="H61" s="132">
        <f>(H60-H59)/H59</f>
        <v>0.37518631090787591</v>
      </c>
      <c r="I61" s="114">
        <f>(I60-I59)/I59</f>
        <v>0.1046782787212821</v>
      </c>
      <c r="J61" s="114">
        <f t="shared" ref="J61:K61" si="90">(J60-J59)/J59</f>
        <v>0.15305196369099411</v>
      </c>
      <c r="K61" s="114">
        <f t="shared" si="90"/>
        <v>0.23480518515933924</v>
      </c>
      <c r="L61" s="114">
        <f t="shared" ref="L61" si="91">(L60-L59)/L59</f>
        <v>0.20302332861679265</v>
      </c>
      <c r="M61" s="114">
        <f t="shared" ref="M61" si="92">(M60-M59)/M59</f>
        <v>0.20624846086765872</v>
      </c>
      <c r="N61" s="114">
        <f t="shared" ref="N61:O61" si="93">(N60-N59)/N59</f>
        <v>0.10658143350924361</v>
      </c>
      <c r="O61" s="114">
        <f t="shared" si="93"/>
        <v>0.42925483712731777</v>
      </c>
      <c r="P61" s="114">
        <f t="shared" ref="P61" si="94">(P60-P59)/P59</f>
        <v>0.12964159405443604</v>
      </c>
      <c r="Q61" s="114"/>
      <c r="R61" s="143"/>
      <c r="S61" s="114"/>
      <c r="T61" s="136"/>
      <c r="U61" s="144"/>
      <c r="V61" s="114"/>
      <c r="W61" s="136"/>
      <c r="AA61" s="136"/>
      <c r="AB61" s="136"/>
      <c r="AC61" s="117"/>
      <c r="AD61" s="117"/>
      <c r="AE61" s="117"/>
      <c r="AF61" s="199"/>
      <c r="AG61" s="200"/>
      <c r="AH61" s="200"/>
      <c r="AI61" s="201"/>
      <c r="AJ61" s="122"/>
      <c r="AK61" s="122"/>
      <c r="AL61" s="122"/>
      <c r="AM61" s="122"/>
      <c r="AN61" s="122"/>
      <c r="AO61" s="122"/>
      <c r="AP61" s="122"/>
    </row>
    <row r="62" spans="1:42" ht="19" x14ac:dyDescent="0.2">
      <c r="A62" s="193"/>
      <c r="B62" s="205" t="s">
        <v>47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8"/>
      <c r="AD62" s="207"/>
      <c r="AE62" s="208"/>
      <c r="AF62" s="199"/>
      <c r="AG62" s="200"/>
      <c r="AH62" s="200"/>
      <c r="AI62" s="201"/>
    </row>
    <row r="63" spans="1:42" ht="19" x14ac:dyDescent="0.2">
      <c r="A63" s="193"/>
      <c r="B63" s="73"/>
      <c r="C63" s="65" t="s">
        <v>13</v>
      </c>
      <c r="D63" s="65" t="s">
        <v>3</v>
      </c>
      <c r="E63" s="74" t="s">
        <v>4</v>
      </c>
      <c r="F63" s="142" t="s">
        <v>5</v>
      </c>
      <c r="G63" s="60" t="s">
        <v>39</v>
      </c>
      <c r="H63" s="60" t="s">
        <v>34</v>
      </c>
      <c r="I63" s="60" t="s">
        <v>7</v>
      </c>
      <c r="J63" s="60" t="s">
        <v>8</v>
      </c>
      <c r="K63" s="72" t="s">
        <v>9</v>
      </c>
      <c r="L63" s="72" t="s">
        <v>35</v>
      </c>
      <c r="M63" s="72" t="s">
        <v>11</v>
      </c>
      <c r="N63" s="72" t="s">
        <v>12</v>
      </c>
      <c r="O63" s="65" t="s">
        <v>13</v>
      </c>
      <c r="P63" s="65" t="s">
        <v>3</v>
      </c>
      <c r="Q63" s="74"/>
      <c r="R63" s="142"/>
      <c r="S63" s="133"/>
      <c r="T63" s="133"/>
      <c r="W63" s="133"/>
      <c r="AA63" s="134"/>
      <c r="AB63" s="135"/>
      <c r="AC63" s="220"/>
      <c r="AD63" s="221"/>
      <c r="AE63" s="222"/>
      <c r="AF63" s="199"/>
      <c r="AG63" s="200"/>
      <c r="AH63" s="200"/>
      <c r="AI63" s="201"/>
    </row>
    <row r="64" spans="1:42" ht="16" x14ac:dyDescent="0.2">
      <c r="A64" s="193"/>
      <c r="B64" s="69" t="s">
        <v>67</v>
      </c>
      <c r="C64" s="66">
        <v>9484</v>
      </c>
      <c r="D64" s="66">
        <v>10109</v>
      </c>
      <c r="E64" s="67">
        <v>8880</v>
      </c>
      <c r="F64" s="139">
        <v>9821</v>
      </c>
      <c r="G64" s="75">
        <v>10987</v>
      </c>
      <c r="H64" s="76">
        <v>8263</v>
      </c>
      <c r="I64" s="77">
        <v>7797</v>
      </c>
      <c r="J64" s="77">
        <v>9757</v>
      </c>
      <c r="K64" s="78">
        <v>9439</v>
      </c>
      <c r="L64" s="78">
        <v>9188</v>
      </c>
      <c r="M64" s="78">
        <v>8772</v>
      </c>
      <c r="N64" s="78">
        <v>10072</v>
      </c>
      <c r="O64" s="66">
        <v>7358</v>
      </c>
      <c r="P64" s="66">
        <v>9438</v>
      </c>
      <c r="Q64" s="67"/>
      <c r="R64" s="139"/>
      <c r="S64" s="140"/>
      <c r="T64" s="137"/>
      <c r="U64" s="121"/>
      <c r="W64" s="137"/>
      <c r="AA64" s="137"/>
      <c r="AB64" s="137"/>
      <c r="AC64" s="220"/>
      <c r="AD64" s="221"/>
      <c r="AE64" s="222"/>
      <c r="AF64" s="199"/>
      <c r="AG64" s="200"/>
      <c r="AH64" s="200"/>
      <c r="AI64" s="201"/>
    </row>
    <row r="65" spans="1:47" ht="16" x14ac:dyDescent="0.2">
      <c r="A65" s="193"/>
      <c r="B65" s="69" t="s">
        <v>66</v>
      </c>
      <c r="C65" s="66">
        <v>10486</v>
      </c>
      <c r="D65" s="66">
        <v>12098</v>
      </c>
      <c r="E65" s="67">
        <v>10259</v>
      </c>
      <c r="F65" s="139">
        <v>10420</v>
      </c>
      <c r="G65" s="78">
        <v>12385</v>
      </c>
      <c r="H65" s="78">
        <v>10715</v>
      </c>
      <c r="I65" s="78">
        <v>7891</v>
      </c>
      <c r="J65" s="78">
        <v>10838</v>
      </c>
      <c r="K65" s="78">
        <v>10563</v>
      </c>
      <c r="L65" s="78">
        <v>10532</v>
      </c>
      <c r="M65" s="78">
        <v>10200</v>
      </c>
      <c r="N65" s="78">
        <v>10586</v>
      </c>
      <c r="O65" s="66">
        <v>9484</v>
      </c>
      <c r="P65" s="66">
        <v>10109</v>
      </c>
      <c r="Q65" s="67"/>
      <c r="R65" s="139"/>
      <c r="S65" s="140"/>
      <c r="T65" s="137"/>
      <c r="U65" s="121"/>
      <c r="W65" s="137"/>
      <c r="AA65" s="137"/>
      <c r="AB65" s="137"/>
      <c r="AC65" s="220"/>
      <c r="AD65" s="221"/>
      <c r="AE65" s="222"/>
      <c r="AF65" s="199"/>
      <c r="AG65" s="200"/>
      <c r="AH65" s="200"/>
      <c r="AI65" s="201"/>
      <c r="AJ65" s="122"/>
      <c r="AK65" s="122"/>
      <c r="AL65" s="122"/>
      <c r="AM65" s="122"/>
      <c r="AN65" s="122"/>
      <c r="AO65" s="122"/>
      <c r="AP65" s="122"/>
    </row>
    <row r="66" spans="1:47" ht="16" x14ac:dyDescent="0.2">
      <c r="A66" s="193"/>
      <c r="B66" s="56" t="s">
        <v>61</v>
      </c>
      <c r="C66" s="114">
        <f t="shared" ref="C66:D66" si="95">(C65-C64)/C64</f>
        <v>0.10565162378743147</v>
      </c>
      <c r="D66" s="114">
        <f t="shared" si="95"/>
        <v>0.19675536650509448</v>
      </c>
      <c r="E66" s="114">
        <f t="shared" ref="E66" si="96">(E65-E64)/E64</f>
        <v>0.15529279279279279</v>
      </c>
      <c r="F66" s="143">
        <f>(F65-F64)/F64</f>
        <v>6.0991752367376029E-2</v>
      </c>
      <c r="G66" s="132">
        <f>(G65-G64)/G64</f>
        <v>0.1272412851551834</v>
      </c>
      <c r="H66" s="132">
        <f>(H65-H64)/H64</f>
        <v>0.2967445237807092</v>
      </c>
      <c r="I66" s="114">
        <f>(I65-I64)/I64</f>
        <v>1.2055918943183275E-2</v>
      </c>
      <c r="J66" s="114">
        <f t="shared" ref="J66:K66" si="97">(J65-J64)/J64</f>
        <v>0.11079225171671621</v>
      </c>
      <c r="K66" s="114">
        <f t="shared" si="97"/>
        <v>0.11908041106049369</v>
      </c>
      <c r="L66" s="114">
        <f t="shared" ref="L66" si="98">(L65-L64)/L64</f>
        <v>0.14627775359164127</v>
      </c>
      <c r="M66" s="114">
        <f t="shared" ref="M66" si="99">(M65-M64)/M64</f>
        <v>0.16279069767441862</v>
      </c>
      <c r="N66" s="114">
        <f t="shared" ref="N66" si="100">(N65-N64)/N64</f>
        <v>5.1032565528196981E-2</v>
      </c>
      <c r="O66" s="114">
        <f t="shared" ref="O66" si="101">(O65-O64)/O64</f>
        <v>0.28893721119869531</v>
      </c>
      <c r="P66" s="114">
        <f t="shared" ref="P66" si="102">(P65-P64)/P64</f>
        <v>7.1095571095571089E-2</v>
      </c>
      <c r="Q66" s="114"/>
      <c r="R66" s="143"/>
      <c r="S66" s="143"/>
      <c r="T66" s="137"/>
      <c r="U66" s="144"/>
      <c r="W66" s="137"/>
      <c r="AA66" s="137"/>
      <c r="AB66" s="137"/>
      <c r="AC66" s="64"/>
      <c r="AD66" s="118"/>
      <c r="AE66" s="119"/>
      <c r="AF66" s="199"/>
      <c r="AG66" s="200"/>
      <c r="AH66" s="200"/>
      <c r="AI66" s="201"/>
      <c r="AJ66" s="122"/>
      <c r="AK66" s="122"/>
      <c r="AL66" s="122"/>
      <c r="AM66" s="122"/>
      <c r="AN66" s="122"/>
      <c r="AO66" s="122"/>
      <c r="AP66" s="122"/>
    </row>
    <row r="67" spans="1:47" ht="19" x14ac:dyDescent="0.2">
      <c r="A67" s="193"/>
      <c r="B67" s="205" t="s">
        <v>48</v>
      </c>
      <c r="C67" s="218"/>
      <c r="D67" s="218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07"/>
      <c r="AD67" s="207"/>
      <c r="AE67" s="208"/>
      <c r="AF67" s="199"/>
      <c r="AG67" s="200"/>
      <c r="AH67" s="200"/>
      <c r="AI67" s="201"/>
    </row>
    <row r="68" spans="1:47" ht="19" x14ac:dyDescent="0.2">
      <c r="A68" s="193"/>
      <c r="B68" s="70"/>
      <c r="C68" s="65" t="s">
        <v>13</v>
      </c>
      <c r="D68" s="65" t="s">
        <v>3</v>
      </c>
      <c r="E68" s="65" t="s">
        <v>4</v>
      </c>
      <c r="F68" s="145" t="s">
        <v>5</v>
      </c>
      <c r="G68" s="79" t="s">
        <v>39</v>
      </c>
      <c r="H68" s="79" t="s">
        <v>34</v>
      </c>
      <c r="I68" s="79" t="s">
        <v>7</v>
      </c>
      <c r="J68" s="79" t="s">
        <v>8</v>
      </c>
      <c r="K68" s="80" t="s">
        <v>9</v>
      </c>
      <c r="L68" s="80" t="s">
        <v>35</v>
      </c>
      <c r="M68" s="80" t="s">
        <v>11</v>
      </c>
      <c r="N68" s="80" t="s">
        <v>12</v>
      </c>
      <c r="O68" s="65" t="s">
        <v>13</v>
      </c>
      <c r="P68" s="65" t="s">
        <v>3</v>
      </c>
      <c r="Q68" s="65"/>
      <c r="R68" s="145"/>
      <c r="S68" s="133"/>
      <c r="T68" s="133"/>
      <c r="U68" s="133"/>
      <c r="V68" s="133"/>
      <c r="W68" s="133"/>
      <c r="AA68" s="134"/>
      <c r="AB68" s="135"/>
      <c r="AC68" s="176"/>
      <c r="AD68" s="176"/>
      <c r="AE68" s="176"/>
      <c r="AF68" s="199"/>
      <c r="AG68" s="200"/>
      <c r="AH68" s="200"/>
      <c r="AI68" s="201"/>
    </row>
    <row r="69" spans="1:47" ht="16" x14ac:dyDescent="0.2">
      <c r="A69" s="193"/>
      <c r="B69" s="69" t="s">
        <v>67</v>
      </c>
      <c r="C69" s="62">
        <v>4799573</v>
      </c>
      <c r="D69" s="62">
        <v>5409457</v>
      </c>
      <c r="E69" s="62">
        <v>5223718</v>
      </c>
      <c r="F69" s="146">
        <v>6073968</v>
      </c>
      <c r="G69" s="62">
        <v>5676586</v>
      </c>
      <c r="H69" s="62">
        <v>5440169</v>
      </c>
      <c r="I69" s="62">
        <v>4012327</v>
      </c>
      <c r="J69" s="62">
        <v>4966888</v>
      </c>
      <c r="K69" s="62">
        <v>5134679</v>
      </c>
      <c r="L69" s="62">
        <v>5928426</v>
      </c>
      <c r="M69" s="62">
        <v>5498759</v>
      </c>
      <c r="N69" s="62">
        <v>6594271</v>
      </c>
      <c r="O69" s="62">
        <v>4116274</v>
      </c>
      <c r="P69" s="62">
        <v>5576224</v>
      </c>
      <c r="Q69" s="62"/>
      <c r="R69" s="146"/>
      <c r="S69" s="136"/>
      <c r="T69" s="136"/>
      <c r="U69" s="136"/>
      <c r="V69" s="136"/>
      <c r="W69" s="136"/>
      <c r="AA69" s="136"/>
      <c r="AB69" s="136"/>
      <c r="AC69" s="177"/>
      <c r="AD69" s="177"/>
      <c r="AE69" s="177"/>
      <c r="AF69" s="199"/>
      <c r="AG69" s="200"/>
      <c r="AH69" s="200"/>
      <c r="AI69" s="201"/>
    </row>
    <row r="70" spans="1:47" ht="16" x14ac:dyDescent="0.2">
      <c r="A70" s="193"/>
      <c r="B70" s="69" t="s">
        <v>66</v>
      </c>
      <c r="C70" s="62">
        <v>4526373</v>
      </c>
      <c r="D70" s="62">
        <v>6152958</v>
      </c>
      <c r="E70" s="62">
        <v>5964704</v>
      </c>
      <c r="F70" s="146">
        <v>5939777</v>
      </c>
      <c r="G70" s="62">
        <v>6559559</v>
      </c>
      <c r="H70" s="62">
        <v>6262006</v>
      </c>
      <c r="I70" s="62">
        <v>4382835</v>
      </c>
      <c r="J70" s="62">
        <v>5325052</v>
      </c>
      <c r="K70" s="62">
        <v>5574577</v>
      </c>
      <c r="L70" s="62">
        <v>5718068</v>
      </c>
      <c r="M70" s="62">
        <v>5281809</v>
      </c>
      <c r="N70" s="62">
        <v>5508245</v>
      </c>
      <c r="O70" s="62">
        <v>4799573</v>
      </c>
      <c r="P70" s="62">
        <v>5409457</v>
      </c>
      <c r="Q70" s="62"/>
      <c r="R70" s="146"/>
      <c r="S70" s="136"/>
      <c r="T70" s="136"/>
      <c r="U70" s="136"/>
      <c r="V70" s="136"/>
      <c r="W70" s="136"/>
      <c r="X70" s="138"/>
      <c r="Y70" s="138"/>
      <c r="Z70" s="138"/>
      <c r="AA70" s="138"/>
      <c r="AB70" s="138"/>
      <c r="AC70" s="178"/>
      <c r="AD70" s="178"/>
      <c r="AE70" s="178"/>
      <c r="AF70" s="199"/>
      <c r="AG70" s="200"/>
      <c r="AH70" s="200"/>
      <c r="AI70" s="201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</row>
    <row r="71" spans="1:47" ht="16" x14ac:dyDescent="0.2">
      <c r="A71" s="193"/>
      <c r="B71" s="56" t="s">
        <v>61</v>
      </c>
      <c r="C71" s="114">
        <f t="shared" ref="C71:D71" si="103">(C70-C69)/C69</f>
        <v>-5.6921730328927181E-2</v>
      </c>
      <c r="D71" s="114">
        <f t="shared" si="103"/>
        <v>0.13744466403929267</v>
      </c>
      <c r="E71" s="114">
        <f t="shared" ref="E71" si="104">(E70-E69)/E69</f>
        <v>0.14185030662068665</v>
      </c>
      <c r="F71" s="143">
        <f>(F70-F69)/F69</f>
        <v>-2.2092806547548489E-2</v>
      </c>
      <c r="G71" s="114">
        <f>(G70-G69)/G69</f>
        <v>0.155546485158509</v>
      </c>
      <c r="H71" s="114">
        <f>(H70-H69)/H69</f>
        <v>0.15106828482718093</v>
      </c>
      <c r="I71" s="114">
        <f>(I70-I69)/I69</f>
        <v>9.2342423735652657E-2</v>
      </c>
      <c r="J71" s="114">
        <f t="shared" ref="J71:K71" si="105">(J70-J69)/J69</f>
        <v>7.2110343539053018E-2</v>
      </c>
      <c r="K71" s="114">
        <f t="shared" si="105"/>
        <v>8.5671957292753842E-2</v>
      </c>
      <c r="L71" s="114">
        <f t="shared" ref="L71" si="106">(L70-L69)/L69</f>
        <v>-3.5482942690015867E-2</v>
      </c>
      <c r="M71" s="114">
        <f t="shared" ref="M71" si="107">(M70-M69)/M69</f>
        <v>-3.9454356883071251E-2</v>
      </c>
      <c r="N71" s="114">
        <f t="shared" ref="N71" si="108">(N70-N69)/N69</f>
        <v>-0.1646923518915131</v>
      </c>
      <c r="O71" s="114">
        <f t="shared" ref="O71" si="109">(O70-O69)/O69</f>
        <v>0.16599939654162965</v>
      </c>
      <c r="P71" s="114">
        <f t="shared" ref="P71" si="110">(P70-P69)/P69</f>
        <v>-2.9906797144447567E-2</v>
      </c>
      <c r="Q71" s="114"/>
      <c r="R71" s="143"/>
      <c r="S71" s="143"/>
      <c r="T71" s="136"/>
      <c r="U71" s="136"/>
      <c r="V71" s="136"/>
      <c r="W71" s="136"/>
      <c r="X71" s="138"/>
      <c r="Y71" s="138"/>
      <c r="Z71" s="138"/>
      <c r="AA71" s="138"/>
      <c r="AB71" s="138"/>
      <c r="AC71" s="117"/>
      <c r="AD71" s="117"/>
      <c r="AE71" s="117"/>
      <c r="AF71" s="199"/>
      <c r="AG71" s="200"/>
      <c r="AH71" s="200"/>
      <c r="AI71" s="201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</row>
    <row r="72" spans="1:47" ht="19" x14ac:dyDescent="0.2">
      <c r="A72" s="193"/>
      <c r="B72" s="205" t="s">
        <v>49</v>
      </c>
      <c r="C72" s="218"/>
      <c r="D72" s="218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07"/>
      <c r="AD72" s="207"/>
      <c r="AE72" s="208"/>
      <c r="AF72" s="199"/>
      <c r="AG72" s="200"/>
      <c r="AH72" s="200"/>
      <c r="AI72" s="201"/>
    </row>
    <row r="73" spans="1:47" ht="19" x14ac:dyDescent="0.2">
      <c r="A73" s="193"/>
      <c r="B73" s="81"/>
      <c r="C73" s="65" t="s">
        <v>13</v>
      </c>
      <c r="D73" s="65" t="s">
        <v>3</v>
      </c>
      <c r="E73" s="65" t="s">
        <v>4</v>
      </c>
      <c r="F73" s="142" t="s">
        <v>5</v>
      </c>
      <c r="G73" s="65" t="s">
        <v>39</v>
      </c>
      <c r="H73" s="65" t="s">
        <v>34</v>
      </c>
      <c r="I73" s="65" t="s">
        <v>7</v>
      </c>
      <c r="J73" s="65" t="s">
        <v>8</v>
      </c>
      <c r="K73" s="58" t="s">
        <v>9</v>
      </c>
      <c r="L73" s="58" t="s">
        <v>35</v>
      </c>
      <c r="M73" s="58" t="s">
        <v>11</v>
      </c>
      <c r="N73" s="58" t="s">
        <v>12</v>
      </c>
      <c r="O73" s="65" t="s">
        <v>13</v>
      </c>
      <c r="P73" s="65" t="s">
        <v>3</v>
      </c>
      <c r="Q73" s="65"/>
      <c r="R73" s="142"/>
      <c r="S73" s="133"/>
      <c r="T73" s="133"/>
      <c r="U73" s="133"/>
      <c r="V73" s="133"/>
      <c r="W73" s="133"/>
      <c r="AA73" s="134"/>
      <c r="AB73" s="135"/>
      <c r="AC73" s="176"/>
      <c r="AD73" s="176"/>
      <c r="AE73" s="176"/>
      <c r="AF73" s="199"/>
      <c r="AG73" s="200"/>
      <c r="AH73" s="200"/>
      <c r="AI73" s="201"/>
    </row>
    <row r="74" spans="1:47" ht="16" x14ac:dyDescent="0.2">
      <c r="A74" s="193"/>
      <c r="B74" s="69" t="s">
        <v>67</v>
      </c>
      <c r="C74" s="66">
        <v>9827</v>
      </c>
      <c r="D74" s="66">
        <v>11825</v>
      </c>
      <c r="E74" s="66">
        <v>11216</v>
      </c>
      <c r="F74" s="98">
        <v>12827</v>
      </c>
      <c r="G74" s="66">
        <v>12610</v>
      </c>
      <c r="H74" s="66">
        <v>11659</v>
      </c>
      <c r="I74" s="66">
        <v>8657</v>
      </c>
      <c r="J74" s="66">
        <v>11221</v>
      </c>
      <c r="K74" s="66">
        <v>11354</v>
      </c>
      <c r="L74" s="66">
        <v>12187</v>
      </c>
      <c r="M74" s="66">
        <v>11303</v>
      </c>
      <c r="N74" s="66">
        <v>13261</v>
      </c>
      <c r="O74" s="66">
        <v>8789</v>
      </c>
      <c r="P74" s="66">
        <v>11430</v>
      </c>
      <c r="Q74" s="66"/>
      <c r="R74" s="98"/>
      <c r="S74" s="140"/>
      <c r="T74" s="137"/>
      <c r="U74" s="137"/>
      <c r="V74" s="137"/>
      <c r="W74" s="137"/>
      <c r="AA74" s="137"/>
      <c r="AB74" s="137"/>
      <c r="AC74" s="177"/>
      <c r="AD74" s="177"/>
      <c r="AE74" s="177"/>
      <c r="AF74" s="199"/>
      <c r="AG74" s="200"/>
      <c r="AH74" s="200"/>
      <c r="AI74" s="201"/>
    </row>
    <row r="75" spans="1:47" ht="16" x14ac:dyDescent="0.2">
      <c r="A75" s="193"/>
      <c r="B75" s="69" t="s">
        <v>66</v>
      </c>
      <c r="C75" s="66">
        <v>9465</v>
      </c>
      <c r="D75" s="66">
        <v>13182</v>
      </c>
      <c r="E75" s="66">
        <v>12358</v>
      </c>
      <c r="F75" s="98">
        <v>12477</v>
      </c>
      <c r="G75" s="66">
        <v>13191</v>
      </c>
      <c r="H75" s="66">
        <v>12511</v>
      </c>
      <c r="I75" s="66">
        <v>9011</v>
      </c>
      <c r="J75" s="66">
        <v>11265</v>
      </c>
      <c r="K75" s="66">
        <v>12045</v>
      </c>
      <c r="L75" s="66">
        <v>11984</v>
      </c>
      <c r="M75" s="66">
        <v>10849</v>
      </c>
      <c r="N75" s="66">
        <v>11419</v>
      </c>
      <c r="O75" s="66">
        <v>9827</v>
      </c>
      <c r="P75" s="66">
        <v>11825</v>
      </c>
      <c r="Q75" s="66"/>
      <c r="R75" s="98"/>
      <c r="S75" s="140"/>
      <c r="T75" s="140"/>
      <c r="U75" s="140"/>
      <c r="V75" s="137"/>
      <c r="W75" s="137"/>
      <c r="AA75" s="137"/>
      <c r="AB75" s="137"/>
      <c r="AC75" s="178"/>
      <c r="AD75" s="178"/>
      <c r="AE75" s="178"/>
      <c r="AF75" s="199"/>
      <c r="AG75" s="200"/>
      <c r="AH75" s="200"/>
      <c r="AI75" s="201"/>
      <c r="AJ75" s="122"/>
      <c r="AK75" s="122"/>
      <c r="AL75" s="122"/>
      <c r="AM75" s="122"/>
      <c r="AN75" s="122"/>
      <c r="AO75" s="122"/>
      <c r="AP75" s="122"/>
    </row>
    <row r="76" spans="1:47" ht="16" x14ac:dyDescent="0.2">
      <c r="A76" s="193"/>
      <c r="B76" s="56" t="s">
        <v>61</v>
      </c>
      <c r="C76" s="114">
        <f t="shared" ref="C76:D76" si="111">(C75-C74)/C74</f>
        <v>-3.6837285031036941E-2</v>
      </c>
      <c r="D76" s="114">
        <f t="shared" si="111"/>
        <v>0.1147568710359408</v>
      </c>
      <c r="E76" s="114">
        <f>(E75-E74)/E74</f>
        <v>0.10181883024251071</v>
      </c>
      <c r="F76" s="143">
        <f>(F75-F74)/F74</f>
        <v>-2.7286193186247757E-2</v>
      </c>
      <c r="G76" s="114">
        <f>(G75-G74)/G74</f>
        <v>4.6074544012688345E-2</v>
      </c>
      <c r="H76" s="114">
        <f>(H75-H74)/H74</f>
        <v>7.307659318981044E-2</v>
      </c>
      <c r="I76" s="114">
        <f>(I75-I74)/I74</f>
        <v>4.0891763890493239E-2</v>
      </c>
      <c r="J76" s="114">
        <f t="shared" ref="J76:K76" si="112">(J75-J74)/J74</f>
        <v>3.9212191426789052E-3</v>
      </c>
      <c r="K76" s="114">
        <f t="shared" si="112"/>
        <v>6.0859608948388232E-2</v>
      </c>
      <c r="L76" s="114">
        <f t="shared" ref="L76" si="113">(L75-L74)/L74</f>
        <v>-1.665709362435382E-2</v>
      </c>
      <c r="M76" s="114">
        <f t="shared" ref="M76" si="114">(M75-M74)/M74</f>
        <v>-4.0166327523666286E-2</v>
      </c>
      <c r="N76" s="114">
        <f t="shared" ref="N76" si="115">(N75-N74)/N74</f>
        <v>-0.13890355176834326</v>
      </c>
      <c r="O76" s="114">
        <f t="shared" ref="O76" si="116">(O75-O74)/O74</f>
        <v>0.11810217317100921</v>
      </c>
      <c r="P76" s="114">
        <f t="shared" ref="P76" si="117">(P75-P74)/P74</f>
        <v>3.4558180227471563E-2</v>
      </c>
      <c r="Q76" s="114"/>
      <c r="R76" s="143"/>
      <c r="S76" s="143"/>
      <c r="T76" s="140"/>
      <c r="U76" s="140"/>
      <c r="V76" s="137"/>
      <c r="W76" s="137"/>
      <c r="AA76" s="137"/>
      <c r="AB76" s="137"/>
      <c r="AC76" s="117"/>
      <c r="AD76" s="117"/>
      <c r="AE76" s="117"/>
      <c r="AF76" s="199"/>
      <c r="AG76" s="200"/>
      <c r="AH76" s="200"/>
      <c r="AI76" s="201"/>
      <c r="AJ76" s="122"/>
      <c r="AK76" s="122"/>
      <c r="AL76" s="122"/>
      <c r="AM76" s="122"/>
      <c r="AN76" s="122"/>
      <c r="AO76" s="122"/>
      <c r="AP76" s="122"/>
    </row>
    <row r="77" spans="1:47" ht="19" x14ac:dyDescent="0.2">
      <c r="A77" s="193"/>
      <c r="B77" s="179" t="s">
        <v>50</v>
      </c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1"/>
      <c r="AF77" s="199"/>
      <c r="AG77" s="200"/>
      <c r="AH77" s="200"/>
      <c r="AI77" s="201"/>
    </row>
    <row r="78" spans="1:47" x14ac:dyDescent="0.2">
      <c r="A78" s="193"/>
      <c r="B78" s="182" t="s">
        <v>51</v>
      </c>
      <c r="C78" s="183"/>
      <c r="D78" s="183"/>
      <c r="E78" s="183"/>
      <c r="F78" s="183"/>
      <c r="G78" s="184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6"/>
      <c r="AE78" s="173"/>
      <c r="AF78" s="199"/>
      <c r="AG78" s="200"/>
      <c r="AH78" s="200"/>
      <c r="AI78" s="201"/>
    </row>
    <row r="79" spans="1:47" x14ac:dyDescent="0.2">
      <c r="A79" s="193"/>
      <c r="B79" s="182"/>
      <c r="C79" s="183"/>
      <c r="D79" s="183"/>
      <c r="E79" s="183"/>
      <c r="F79" s="183"/>
      <c r="G79" s="187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9"/>
      <c r="AE79" s="174"/>
      <c r="AF79" s="199"/>
      <c r="AG79" s="200"/>
      <c r="AH79" s="200"/>
      <c r="AI79" s="201"/>
    </row>
    <row r="80" spans="1:47" ht="19" x14ac:dyDescent="0.2">
      <c r="A80" s="193"/>
      <c r="B80" s="82"/>
      <c r="C80" s="1">
        <v>46138</v>
      </c>
      <c r="D80" s="1">
        <v>46107</v>
      </c>
      <c r="E80" s="1">
        <v>46079</v>
      </c>
      <c r="F80" s="1">
        <v>46048</v>
      </c>
      <c r="G80" s="1">
        <v>46016</v>
      </c>
      <c r="H80" s="1">
        <v>45986</v>
      </c>
      <c r="I80" s="1">
        <v>45955</v>
      </c>
      <c r="J80" s="1">
        <v>45925</v>
      </c>
      <c r="K80" s="1">
        <v>45894</v>
      </c>
      <c r="L80" s="1">
        <v>45863</v>
      </c>
      <c r="M80" s="1">
        <v>45833</v>
      </c>
      <c r="N80" s="1">
        <v>45802</v>
      </c>
      <c r="O80" s="28">
        <v>45748</v>
      </c>
      <c r="P80" s="29" t="s">
        <v>3</v>
      </c>
      <c r="Q80" s="28" t="s">
        <v>4</v>
      </c>
      <c r="R80" s="28" t="s">
        <v>5</v>
      </c>
      <c r="S80" s="28">
        <v>45627</v>
      </c>
      <c r="T80" s="29" t="s">
        <v>34</v>
      </c>
      <c r="U80" s="29" t="s">
        <v>7</v>
      </c>
      <c r="V80" s="29" t="s">
        <v>8</v>
      </c>
      <c r="W80" s="29" t="s">
        <v>9</v>
      </c>
      <c r="X80" s="50" t="s">
        <v>35</v>
      </c>
      <c r="Y80" s="50" t="s">
        <v>11</v>
      </c>
      <c r="Z80" s="50" t="s">
        <v>12</v>
      </c>
      <c r="AA80" s="50" t="s">
        <v>40</v>
      </c>
      <c r="AB80" s="50" t="s">
        <v>3</v>
      </c>
      <c r="AC80" s="50" t="s">
        <v>14</v>
      </c>
      <c r="AD80" s="83" t="s">
        <v>5</v>
      </c>
      <c r="AE80" s="174"/>
      <c r="AF80" s="199"/>
      <c r="AG80" s="200"/>
      <c r="AH80" s="200"/>
      <c r="AI80" s="201"/>
    </row>
    <row r="81" spans="1:35" ht="16" x14ac:dyDescent="0.2">
      <c r="A81" s="193"/>
      <c r="B81" s="81" t="s">
        <v>52</v>
      </c>
      <c r="C81" s="84">
        <v>5104891</v>
      </c>
      <c r="D81" s="84">
        <v>5120210</v>
      </c>
      <c r="E81" s="84">
        <v>4810461</v>
      </c>
      <c r="F81" s="84">
        <v>5042224</v>
      </c>
      <c r="G81" s="84">
        <v>4684920</v>
      </c>
      <c r="H81" s="84">
        <v>4540663</v>
      </c>
      <c r="I81" s="84">
        <v>4473680</v>
      </c>
      <c r="J81" s="84">
        <v>4304022</v>
      </c>
      <c r="K81" s="84">
        <v>4130283</v>
      </c>
      <c r="L81" s="84">
        <v>4289151</v>
      </c>
      <c r="M81" s="84">
        <v>3905827</v>
      </c>
      <c r="N81" s="62">
        <v>4023635</v>
      </c>
      <c r="O81" s="84">
        <v>4202262</v>
      </c>
      <c r="P81" s="84">
        <v>4631068</v>
      </c>
      <c r="Q81" s="62">
        <v>4594521.62</v>
      </c>
      <c r="R81" s="62">
        <v>4577550.8499999996</v>
      </c>
      <c r="S81" s="62">
        <v>4400952</v>
      </c>
      <c r="T81" s="63">
        <v>4464887</v>
      </c>
      <c r="U81" s="62">
        <v>4060729.89</v>
      </c>
      <c r="V81" s="62">
        <v>4207986.6100000003</v>
      </c>
      <c r="W81" s="62">
        <v>4676429.95</v>
      </c>
      <c r="X81" s="62">
        <v>4634040.66</v>
      </c>
      <c r="Y81" s="62">
        <v>4636266.13</v>
      </c>
      <c r="Z81" s="62">
        <v>5085087.0999999996</v>
      </c>
      <c r="AA81" s="62">
        <v>5148676.07</v>
      </c>
      <c r="AB81" s="62">
        <v>5379731.1900000004</v>
      </c>
      <c r="AC81" s="62">
        <v>5374752.9000000004</v>
      </c>
      <c r="AD81" s="85">
        <v>5148821.5</v>
      </c>
      <c r="AE81" s="174"/>
      <c r="AF81" s="199"/>
      <c r="AG81" s="200"/>
      <c r="AH81" s="200"/>
      <c r="AI81" s="201"/>
    </row>
    <row r="82" spans="1:35" ht="16" x14ac:dyDescent="0.2">
      <c r="A82" s="193"/>
      <c r="B82" s="81" t="s">
        <v>53</v>
      </c>
      <c r="C82" s="124">
        <v>433617</v>
      </c>
      <c r="D82" s="124">
        <v>416765</v>
      </c>
      <c r="E82" s="124">
        <v>442060</v>
      </c>
      <c r="F82" s="124">
        <v>451642</v>
      </c>
      <c r="G82" s="124">
        <v>481352</v>
      </c>
      <c r="H82" s="124">
        <v>536509</v>
      </c>
      <c r="I82" s="124">
        <v>612963</v>
      </c>
      <c r="J82" s="124">
        <v>615100</v>
      </c>
      <c r="K82" s="124">
        <v>631676</v>
      </c>
      <c r="L82" s="124">
        <v>667662</v>
      </c>
      <c r="M82" s="124">
        <v>682954</v>
      </c>
      <c r="N82" s="123">
        <v>769323</v>
      </c>
      <c r="O82" s="124">
        <v>849391</v>
      </c>
      <c r="P82" s="124">
        <v>871258</v>
      </c>
      <c r="Q82" s="123">
        <v>878417.39</v>
      </c>
      <c r="R82" s="123">
        <v>960273.99</v>
      </c>
      <c r="S82" s="62">
        <v>1024341</v>
      </c>
      <c r="T82" s="63">
        <v>1082949</v>
      </c>
      <c r="U82" s="84">
        <v>1146694.96</v>
      </c>
      <c r="V82" s="84">
        <v>1084640.23</v>
      </c>
      <c r="W82" s="62">
        <v>1503268.04</v>
      </c>
      <c r="X82" s="62">
        <v>1515718.25</v>
      </c>
      <c r="Y82" s="62">
        <v>1532172.11</v>
      </c>
      <c r="Z82" s="62">
        <v>1519771.55</v>
      </c>
      <c r="AA82" s="62">
        <v>1487952.9</v>
      </c>
      <c r="AB82" s="62">
        <v>1543736.29</v>
      </c>
      <c r="AC82" s="62">
        <v>1487113.9</v>
      </c>
      <c r="AD82" s="85">
        <v>1445599.96</v>
      </c>
      <c r="AE82" s="174"/>
      <c r="AF82" s="199"/>
      <c r="AG82" s="200"/>
      <c r="AH82" s="200"/>
      <c r="AI82" s="201"/>
    </row>
    <row r="83" spans="1:35" ht="16" x14ac:dyDescent="0.2">
      <c r="A83" s="193"/>
      <c r="B83" s="64" t="s">
        <v>54</v>
      </c>
      <c r="C83" s="54">
        <f t="shared" ref="C83:D83" si="118">C82/C81</f>
        <v>8.4941480631026203E-2</v>
      </c>
      <c r="D83" s="54">
        <f t="shared" si="118"/>
        <v>8.1396075551588704E-2</v>
      </c>
      <c r="E83" s="54">
        <f t="shared" ref="E83:F83" si="119">E82/E81</f>
        <v>9.1895558450634976E-2</v>
      </c>
      <c r="F83" s="54">
        <f t="shared" si="119"/>
        <v>8.9571982521998231E-2</v>
      </c>
      <c r="G83" s="54">
        <f t="shared" ref="G83:H83" si="120">G82/G81</f>
        <v>0.10274497750228392</v>
      </c>
      <c r="H83" s="54">
        <f t="shared" si="120"/>
        <v>0.11815653352825348</v>
      </c>
      <c r="I83" s="54">
        <f>I82/I81</f>
        <v>0.13701538777918851</v>
      </c>
      <c r="J83" s="54">
        <f t="shared" ref="J83:K83" si="121">J82/J81</f>
        <v>0.14291283827080808</v>
      </c>
      <c r="K83" s="54">
        <f t="shared" si="121"/>
        <v>0.15293770426869055</v>
      </c>
      <c r="L83" s="54">
        <f>L82/L81</f>
        <v>0.15566297386126066</v>
      </c>
      <c r="M83" s="54">
        <f t="shared" ref="M83" si="122">M82/M81</f>
        <v>0.17485515871542698</v>
      </c>
      <c r="N83" s="53">
        <f>N82/N81</f>
        <v>0.19120099114358036</v>
      </c>
      <c r="O83" s="54">
        <f>O82/O81</f>
        <v>0.20212709250398952</v>
      </c>
      <c r="P83" s="54">
        <f t="shared" ref="P83" si="123">P82/P81</f>
        <v>0.18813327724835827</v>
      </c>
      <c r="Q83" s="53">
        <f>Q82/Q81</f>
        <v>0.19118799793568061</v>
      </c>
      <c r="R83" s="87">
        <f t="shared" ref="R83:S83" si="124">R82/R81</f>
        <v>0.20977898912908854</v>
      </c>
      <c r="S83" s="87">
        <f t="shared" si="124"/>
        <v>0.23275441313606693</v>
      </c>
      <c r="T83" s="88">
        <f>T82/T81</f>
        <v>0.2425479077074067</v>
      </c>
      <c r="U83" s="89">
        <f>U82/U81</f>
        <v>0.28238641600463604</v>
      </c>
      <c r="V83" s="89">
        <f>V82/V81</f>
        <v>0.25775752884346748</v>
      </c>
      <c r="W83" s="89">
        <f>W82/W81</f>
        <v>0.32145633658000161</v>
      </c>
      <c r="X83" s="89">
        <f t="shared" ref="X83:AD83" si="125">X82/X81</f>
        <v>0.32708350254311319</v>
      </c>
      <c r="Y83" s="89">
        <f t="shared" si="125"/>
        <v>0.33047544447151916</v>
      </c>
      <c r="Z83" s="89">
        <f t="shared" si="125"/>
        <v>0.29886834190116435</v>
      </c>
      <c r="AA83" s="89">
        <f t="shared" si="125"/>
        <v>0.28899718680495662</v>
      </c>
      <c r="AB83" s="89">
        <f t="shared" si="125"/>
        <v>0.28695416842937088</v>
      </c>
      <c r="AC83" s="89">
        <f t="shared" si="125"/>
        <v>0.27668507328029907</v>
      </c>
      <c r="AD83" s="90">
        <f t="shared" si="125"/>
        <v>0.28076326980844063</v>
      </c>
      <c r="AE83" s="174"/>
      <c r="AF83" s="199"/>
      <c r="AG83" s="200"/>
      <c r="AH83" s="200"/>
      <c r="AI83" s="201"/>
    </row>
    <row r="84" spans="1:35" ht="19" x14ac:dyDescent="0.2">
      <c r="A84" s="193"/>
      <c r="B84" s="91"/>
      <c r="C84" s="91"/>
      <c r="D84" s="91"/>
      <c r="E84" s="91"/>
      <c r="F84" s="91"/>
      <c r="G84" s="92"/>
      <c r="H84" s="91"/>
      <c r="I84" s="92"/>
      <c r="J84" s="92"/>
      <c r="K84" s="92"/>
      <c r="L84" s="92"/>
      <c r="M84" s="92"/>
      <c r="N84" s="93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3"/>
      <c r="Z84" s="93"/>
      <c r="AA84" s="93"/>
      <c r="AB84" s="93"/>
      <c r="AC84" s="93"/>
      <c r="AD84" s="94"/>
      <c r="AE84" s="174"/>
      <c r="AF84" s="199"/>
      <c r="AG84" s="200"/>
      <c r="AH84" s="200"/>
      <c r="AI84" s="201"/>
    </row>
    <row r="85" spans="1:35" ht="19" x14ac:dyDescent="0.2">
      <c r="A85" s="193"/>
      <c r="B85" s="69"/>
      <c r="C85" s="1">
        <v>46138</v>
      </c>
      <c r="D85" s="1">
        <v>46107</v>
      </c>
      <c r="E85" s="1">
        <v>46079</v>
      </c>
      <c r="F85" s="1">
        <v>46048</v>
      </c>
      <c r="G85" s="1">
        <v>45986</v>
      </c>
      <c r="H85" s="1">
        <v>45986</v>
      </c>
      <c r="I85" s="1">
        <v>45955</v>
      </c>
      <c r="J85" s="1">
        <v>45925</v>
      </c>
      <c r="K85" s="1">
        <v>45894</v>
      </c>
      <c r="L85" s="1">
        <v>45863</v>
      </c>
      <c r="M85" s="1">
        <v>45833</v>
      </c>
      <c r="N85" s="1">
        <v>45802</v>
      </c>
      <c r="O85" s="28">
        <v>45748</v>
      </c>
      <c r="P85" s="29" t="s">
        <v>3</v>
      </c>
      <c r="Q85" s="95" t="s">
        <v>4</v>
      </c>
      <c r="R85" s="28" t="s">
        <v>5</v>
      </c>
      <c r="S85" s="28">
        <v>45627</v>
      </c>
      <c r="T85" s="29" t="s">
        <v>34</v>
      </c>
      <c r="U85" s="29" t="s">
        <v>7</v>
      </c>
      <c r="V85" s="29" t="s">
        <v>8</v>
      </c>
      <c r="W85" s="29" t="s">
        <v>9</v>
      </c>
      <c r="X85" s="50" t="s">
        <v>35</v>
      </c>
      <c r="Y85" s="50" t="s">
        <v>11</v>
      </c>
      <c r="Z85" s="50" t="s">
        <v>12</v>
      </c>
      <c r="AA85" s="50" t="s">
        <v>40</v>
      </c>
      <c r="AB85" s="50" t="s">
        <v>3</v>
      </c>
      <c r="AC85" s="50" t="s">
        <v>14</v>
      </c>
      <c r="AD85" s="51" t="s">
        <v>5</v>
      </c>
      <c r="AE85" s="174"/>
      <c r="AF85" s="199"/>
      <c r="AG85" s="200"/>
      <c r="AH85" s="200"/>
      <c r="AI85" s="201"/>
    </row>
    <row r="86" spans="1:35" ht="16" x14ac:dyDescent="0.2">
      <c r="A86" s="193"/>
      <c r="B86" s="96" t="s">
        <v>55</v>
      </c>
      <c r="C86" s="66">
        <v>17726</v>
      </c>
      <c r="D86" s="66">
        <v>18162</v>
      </c>
      <c r="E86" s="66">
        <v>17115</v>
      </c>
      <c r="F86" s="66">
        <v>17480</v>
      </c>
      <c r="G86" s="66">
        <v>17049</v>
      </c>
      <c r="H86" s="66">
        <v>17169</v>
      </c>
      <c r="I86" s="66">
        <v>16599</v>
      </c>
      <c r="J86" s="66">
        <v>16761</v>
      </c>
      <c r="K86" s="66">
        <v>17266</v>
      </c>
      <c r="L86" s="66">
        <v>17649</v>
      </c>
      <c r="M86" s="66">
        <v>16848</v>
      </c>
      <c r="N86" s="97">
        <v>17469</v>
      </c>
      <c r="O86" s="66">
        <v>17715</v>
      </c>
      <c r="P86" s="66">
        <v>18587</v>
      </c>
      <c r="Q86" s="97">
        <v>18607</v>
      </c>
      <c r="R86" s="67">
        <v>18533</v>
      </c>
      <c r="S86" s="66">
        <v>17914</v>
      </c>
      <c r="T86" s="67">
        <v>18365</v>
      </c>
      <c r="U86" s="66">
        <v>16919</v>
      </c>
      <c r="V86" s="66">
        <v>16571</v>
      </c>
      <c r="W86" s="66">
        <v>18127</v>
      </c>
      <c r="X86" s="66">
        <v>18401</v>
      </c>
      <c r="Y86" s="66">
        <v>18023</v>
      </c>
      <c r="Z86" s="66">
        <v>19219</v>
      </c>
      <c r="AA86" s="66">
        <v>19501</v>
      </c>
      <c r="AB86" s="66">
        <v>20520</v>
      </c>
      <c r="AC86" s="66">
        <v>20798</v>
      </c>
      <c r="AD86" s="98">
        <v>19823</v>
      </c>
      <c r="AE86" s="174"/>
      <c r="AF86" s="199"/>
      <c r="AG86" s="200"/>
      <c r="AH86" s="200"/>
      <c r="AI86" s="201"/>
    </row>
    <row r="87" spans="1:35" ht="16" x14ac:dyDescent="0.2">
      <c r="A87" s="193"/>
      <c r="B87" s="96" t="s">
        <v>56</v>
      </c>
      <c r="C87" s="66">
        <v>2178</v>
      </c>
      <c r="D87" s="66">
        <v>2218</v>
      </c>
      <c r="E87" s="66">
        <v>2406</v>
      </c>
      <c r="F87" s="66">
        <v>2508</v>
      </c>
      <c r="G87" s="66">
        <v>2576</v>
      </c>
      <c r="H87" s="66">
        <v>2807</v>
      </c>
      <c r="I87" s="66">
        <v>3023</v>
      </c>
      <c r="J87" s="66">
        <v>2973</v>
      </c>
      <c r="K87" s="66">
        <v>3133</v>
      </c>
      <c r="L87" s="66">
        <v>3294</v>
      </c>
      <c r="M87" s="66">
        <v>3505</v>
      </c>
      <c r="N87" s="97">
        <v>3773</v>
      </c>
      <c r="O87" s="66">
        <v>4217</v>
      </c>
      <c r="P87" s="66">
        <v>4257</v>
      </c>
      <c r="Q87" s="97">
        <v>4476</v>
      </c>
      <c r="R87" s="67">
        <v>4711</v>
      </c>
      <c r="S87" s="66">
        <v>5001</v>
      </c>
      <c r="T87" s="67">
        <v>5238</v>
      </c>
      <c r="U87" s="66">
        <v>5428</v>
      </c>
      <c r="V87" s="66">
        <v>4685</v>
      </c>
      <c r="W87" s="66">
        <v>6102</v>
      </c>
      <c r="X87" s="66">
        <v>6063</v>
      </c>
      <c r="Y87" s="66">
        <v>5881</v>
      </c>
      <c r="Z87" s="66">
        <v>5615</v>
      </c>
      <c r="AA87" s="66">
        <v>5458</v>
      </c>
      <c r="AB87" s="66">
        <v>5611</v>
      </c>
      <c r="AC87" s="66">
        <v>5551</v>
      </c>
      <c r="AD87" s="98">
        <v>5375</v>
      </c>
      <c r="AE87" s="174"/>
      <c r="AF87" s="199"/>
      <c r="AG87" s="200"/>
      <c r="AH87" s="200"/>
      <c r="AI87" s="201"/>
    </row>
    <row r="88" spans="1:35" ht="16" x14ac:dyDescent="0.2">
      <c r="A88" s="193"/>
      <c r="B88" s="99" t="s">
        <v>54</v>
      </c>
      <c r="C88" s="100">
        <f t="shared" ref="C88:D88" si="126">C87/C86</f>
        <v>0.12287035992327654</v>
      </c>
      <c r="D88" s="100">
        <f t="shared" si="126"/>
        <v>0.12212311419447197</v>
      </c>
      <c r="E88" s="100">
        <f t="shared" ref="E88:F88" si="127">E87/E86</f>
        <v>0.14057843996494304</v>
      </c>
      <c r="F88" s="100">
        <f t="shared" si="127"/>
        <v>0.14347826086956522</v>
      </c>
      <c r="G88" s="100">
        <f t="shared" ref="G88:H88" si="128">G87/G86</f>
        <v>0.15109390580092674</v>
      </c>
      <c r="H88" s="100">
        <f t="shared" si="128"/>
        <v>0.16349234084687519</v>
      </c>
      <c r="I88" s="100">
        <f>I87/I86</f>
        <v>0.18211940478342067</v>
      </c>
      <c r="J88" s="100">
        <f t="shared" ref="J88:K88" si="129">J87/J86</f>
        <v>0.17737605154823699</v>
      </c>
      <c r="K88" s="100">
        <f t="shared" si="129"/>
        <v>0.18145488242789296</v>
      </c>
      <c r="L88" s="100">
        <f>L87/L86</f>
        <v>0.18663946965833758</v>
      </c>
      <c r="M88" s="100">
        <f>M87/M86</f>
        <v>0.20803656220322886</v>
      </c>
      <c r="N88" s="101">
        <f t="shared" ref="N88" si="130">N87/N86</f>
        <v>0.21598259774457609</v>
      </c>
      <c r="O88" s="100">
        <f>O87/O86</f>
        <v>0.23804685294947783</v>
      </c>
      <c r="P88" s="100">
        <f>P87/P86</f>
        <v>0.22903104320223813</v>
      </c>
      <c r="Q88" s="101">
        <f t="shared" ref="Q88:S88" si="131">Q87/Q86</f>
        <v>0.24055462997796528</v>
      </c>
      <c r="R88" s="100">
        <f t="shared" si="131"/>
        <v>0.25419521933847733</v>
      </c>
      <c r="S88" s="100">
        <f t="shared" si="131"/>
        <v>0.27916713185218267</v>
      </c>
      <c r="T88" s="100">
        <f>T87/T86</f>
        <v>0.28521644432344134</v>
      </c>
      <c r="U88" s="102">
        <f>U87/U86</f>
        <v>0.32082274366097285</v>
      </c>
      <c r="V88" s="102">
        <f>V87/V86</f>
        <v>0.28272282903868201</v>
      </c>
      <c r="W88" s="102">
        <f>W87/W86</f>
        <v>0.33662492414630107</v>
      </c>
      <c r="X88" s="102">
        <f t="shared" ref="X88:AC88" si="132">X87/X86</f>
        <v>0.32949296233900333</v>
      </c>
      <c r="Y88" s="102">
        <f t="shared" si="132"/>
        <v>0.3263052765910226</v>
      </c>
      <c r="Z88" s="102">
        <f t="shared" si="132"/>
        <v>0.29215880118632603</v>
      </c>
      <c r="AA88" s="102">
        <f t="shared" si="132"/>
        <v>0.27988308291882469</v>
      </c>
      <c r="AB88" s="102">
        <f t="shared" si="132"/>
        <v>0.27344054580896687</v>
      </c>
      <c r="AC88" s="102">
        <f t="shared" si="132"/>
        <v>0.26690066352533898</v>
      </c>
      <c r="AD88" s="103">
        <f>AD87/AD86</f>
        <v>0.27114967462039047</v>
      </c>
      <c r="AE88" s="174"/>
      <c r="AF88" s="199"/>
      <c r="AG88" s="200"/>
      <c r="AH88" s="200"/>
      <c r="AI88" s="201"/>
    </row>
    <row r="89" spans="1:35" ht="19" x14ac:dyDescent="0.2">
      <c r="A89" s="193"/>
      <c r="B89" s="190" t="s">
        <v>57</v>
      </c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2"/>
      <c r="AF89" s="199"/>
      <c r="AG89" s="200"/>
      <c r="AH89" s="200"/>
      <c r="AI89" s="201"/>
    </row>
    <row r="90" spans="1:35" x14ac:dyDescent="0.2">
      <c r="A90" s="193"/>
      <c r="B90" s="185" t="s">
        <v>58</v>
      </c>
      <c r="C90" s="185"/>
      <c r="D90" s="185"/>
      <c r="E90" s="185"/>
      <c r="F90" s="186"/>
      <c r="G90" s="184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  <c r="AF90" s="199"/>
      <c r="AG90" s="200"/>
      <c r="AH90" s="200"/>
      <c r="AI90" s="201"/>
    </row>
    <row r="91" spans="1:35" x14ac:dyDescent="0.2">
      <c r="A91" s="193"/>
      <c r="B91" s="223"/>
      <c r="C91" s="223"/>
      <c r="D91" s="223"/>
      <c r="E91" s="223"/>
      <c r="F91" s="224"/>
      <c r="G91" s="187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99"/>
      <c r="AG91" s="200"/>
      <c r="AH91" s="200"/>
      <c r="AI91" s="201"/>
    </row>
    <row r="92" spans="1:35" ht="19" x14ac:dyDescent="0.2">
      <c r="A92" s="193"/>
      <c r="B92" s="82"/>
      <c r="C92" s="1">
        <v>46138</v>
      </c>
      <c r="D92" s="1">
        <v>46107</v>
      </c>
      <c r="E92" s="1">
        <v>46079</v>
      </c>
      <c r="F92" s="1">
        <v>46048</v>
      </c>
      <c r="G92" s="1">
        <v>46016</v>
      </c>
      <c r="H92" s="1">
        <v>45986</v>
      </c>
      <c r="I92" s="1">
        <v>45955</v>
      </c>
      <c r="J92" s="1">
        <v>45925</v>
      </c>
      <c r="K92" s="1">
        <v>45894</v>
      </c>
      <c r="L92" s="1">
        <v>45863</v>
      </c>
      <c r="M92" s="1">
        <v>45833</v>
      </c>
      <c r="N92" s="1">
        <v>45802</v>
      </c>
      <c r="O92" s="28">
        <v>45748</v>
      </c>
      <c r="P92" s="29" t="s">
        <v>3</v>
      </c>
      <c r="Q92" s="28" t="s">
        <v>4</v>
      </c>
      <c r="R92" s="28" t="s">
        <v>5</v>
      </c>
      <c r="S92" s="28">
        <v>45627</v>
      </c>
      <c r="T92" s="29" t="s">
        <v>34</v>
      </c>
      <c r="U92" s="29" t="s">
        <v>7</v>
      </c>
      <c r="V92" s="29" t="s">
        <v>8</v>
      </c>
      <c r="W92" s="29" t="s">
        <v>9</v>
      </c>
      <c r="X92" s="29" t="s">
        <v>35</v>
      </c>
      <c r="Y92" s="29" t="s">
        <v>11</v>
      </c>
      <c r="Z92" s="29" t="s">
        <v>12</v>
      </c>
      <c r="AA92" s="29" t="s">
        <v>40</v>
      </c>
      <c r="AB92" s="29" t="s">
        <v>3</v>
      </c>
      <c r="AC92" s="29" t="s">
        <v>14</v>
      </c>
      <c r="AD92" s="104" t="s">
        <v>5</v>
      </c>
      <c r="AE92" s="173"/>
      <c r="AF92" s="199"/>
      <c r="AG92" s="200"/>
      <c r="AH92" s="200"/>
      <c r="AI92" s="201"/>
    </row>
    <row r="93" spans="1:35" ht="16" x14ac:dyDescent="0.2">
      <c r="A93" s="193"/>
      <c r="B93" s="96" t="s">
        <v>52</v>
      </c>
      <c r="C93" s="62">
        <v>7968607</v>
      </c>
      <c r="D93" s="62">
        <v>8107210</v>
      </c>
      <c r="E93" s="62">
        <v>8502645</v>
      </c>
      <c r="F93" s="62">
        <v>9143247</v>
      </c>
      <c r="G93" s="62">
        <v>8802243</v>
      </c>
      <c r="H93" s="62">
        <v>8481399</v>
      </c>
      <c r="I93" s="62">
        <v>9451561</v>
      </c>
      <c r="J93" s="62">
        <v>9344584</v>
      </c>
      <c r="K93" s="62">
        <v>9594723</v>
      </c>
      <c r="L93" s="62">
        <v>9383515</v>
      </c>
      <c r="M93" s="62">
        <v>8419735</v>
      </c>
      <c r="N93" s="63">
        <v>8563780</v>
      </c>
      <c r="O93" s="62">
        <v>8510787</v>
      </c>
      <c r="P93" s="62">
        <v>8673639</v>
      </c>
      <c r="Q93" s="63">
        <v>9048691.9030000009</v>
      </c>
      <c r="R93" s="62">
        <v>9257724.5069999993</v>
      </c>
      <c r="S93" s="62">
        <v>8832842</v>
      </c>
      <c r="T93" s="105">
        <v>8295502</v>
      </c>
      <c r="U93" s="62">
        <v>8915913.3729999997</v>
      </c>
      <c r="V93" s="62">
        <v>8720945.9220000003</v>
      </c>
      <c r="W93" s="62">
        <v>9059951.5590000004</v>
      </c>
      <c r="X93" s="62">
        <v>9448746.3819999993</v>
      </c>
      <c r="Y93" s="62">
        <v>9762492.8330000006</v>
      </c>
      <c r="Z93" s="62">
        <v>10555957.17</v>
      </c>
      <c r="AA93" s="62">
        <v>10023112.630000001</v>
      </c>
      <c r="AB93" s="62">
        <v>9815646.5889999997</v>
      </c>
      <c r="AC93" s="62">
        <v>10317438.130000001</v>
      </c>
      <c r="AD93" s="62">
        <v>9834518.0199999996</v>
      </c>
      <c r="AE93" s="174"/>
      <c r="AF93" s="199"/>
      <c r="AG93" s="200"/>
      <c r="AH93" s="200"/>
      <c r="AI93" s="201"/>
    </row>
    <row r="94" spans="1:35" ht="16" x14ac:dyDescent="0.2">
      <c r="A94" s="193"/>
      <c r="B94" s="99" t="s">
        <v>53</v>
      </c>
      <c r="C94" s="62">
        <v>2025471</v>
      </c>
      <c r="D94" s="62">
        <v>2091767</v>
      </c>
      <c r="E94" s="62">
        <v>2225934</v>
      </c>
      <c r="F94" s="62">
        <v>2227763</v>
      </c>
      <c r="G94" s="62">
        <v>2297775</v>
      </c>
      <c r="H94" s="62">
        <v>2426961</v>
      </c>
      <c r="I94" s="62">
        <v>2466252</v>
      </c>
      <c r="J94" s="62">
        <v>2340587</v>
      </c>
      <c r="K94" s="62">
        <v>2500414</v>
      </c>
      <c r="L94" s="62">
        <v>2557317</v>
      </c>
      <c r="M94" s="62">
        <v>2634604</v>
      </c>
      <c r="N94" s="106">
        <v>2743797</v>
      </c>
      <c r="O94" s="62">
        <v>2828207</v>
      </c>
      <c r="P94" s="62">
        <v>3001200</v>
      </c>
      <c r="Q94" s="106">
        <v>3160843.5649999999</v>
      </c>
      <c r="R94" s="62">
        <v>3238118.1340000001</v>
      </c>
      <c r="S94" s="62">
        <v>3363220</v>
      </c>
      <c r="T94" s="107">
        <v>3524960</v>
      </c>
      <c r="U94" s="86">
        <v>3619629.32</v>
      </c>
      <c r="V94" s="86">
        <v>3674507.6</v>
      </c>
      <c r="W94" s="108">
        <v>4258901.3789999997</v>
      </c>
      <c r="X94" s="108">
        <v>4274188.8569999998</v>
      </c>
      <c r="Y94" s="108">
        <v>4344745.4579999996</v>
      </c>
      <c r="Z94" s="108">
        <v>4511371.4419999998</v>
      </c>
      <c r="AA94" s="108">
        <v>4383186.3650000002</v>
      </c>
      <c r="AB94" s="108">
        <v>4333506.1519999998</v>
      </c>
      <c r="AC94" s="62">
        <v>4247560.7960000001</v>
      </c>
      <c r="AD94" s="62">
        <v>4523423.4479999999</v>
      </c>
      <c r="AE94" s="174"/>
      <c r="AF94" s="199"/>
      <c r="AG94" s="200"/>
      <c r="AH94" s="200"/>
      <c r="AI94" s="201"/>
    </row>
    <row r="95" spans="1:35" ht="16" x14ac:dyDescent="0.2">
      <c r="A95" s="193"/>
      <c r="B95" s="109" t="s">
        <v>59</v>
      </c>
      <c r="C95" s="53">
        <f t="shared" ref="C95:D95" si="133">C94/C93</f>
        <v>0.25418131424978041</v>
      </c>
      <c r="D95" s="53">
        <f t="shared" si="133"/>
        <v>0.25801317592612011</v>
      </c>
      <c r="E95" s="53">
        <f t="shared" ref="E95:F95" si="134">E94/E93</f>
        <v>0.26179312437482688</v>
      </c>
      <c r="F95" s="53">
        <f t="shared" si="134"/>
        <v>0.24365118868603244</v>
      </c>
      <c r="G95" s="53">
        <f t="shared" ref="G95:H95" si="135">G94/G93</f>
        <v>0.26104425883266347</v>
      </c>
      <c r="H95" s="53">
        <f t="shared" si="135"/>
        <v>0.28615102296213157</v>
      </c>
      <c r="I95" s="53">
        <f>I94/I93</f>
        <v>0.26093594486667332</v>
      </c>
      <c r="J95" s="53">
        <f t="shared" ref="J95:K95" si="136">J94/J93</f>
        <v>0.25047524855039027</v>
      </c>
      <c r="K95" s="53">
        <f t="shared" si="136"/>
        <v>0.26060304190126177</v>
      </c>
      <c r="L95" s="53">
        <f>L94/L93</f>
        <v>0.27253294740830064</v>
      </c>
      <c r="M95" s="53">
        <f>M94/M93</f>
        <v>0.31290818535262688</v>
      </c>
      <c r="N95" s="88">
        <f t="shared" ref="N95" si="137">N94/N93</f>
        <v>0.32039554962878541</v>
      </c>
      <c r="O95" s="53">
        <f>O94/O93</f>
        <v>0.33230851623945001</v>
      </c>
      <c r="P95" s="53">
        <f>P94/P93</f>
        <v>0.34601393947799763</v>
      </c>
      <c r="Q95" s="88">
        <f t="shared" ref="Q95:S95" si="138">Q94/Q93</f>
        <v>0.34931497269257833</v>
      </c>
      <c r="R95" s="53">
        <f t="shared" si="138"/>
        <v>0.34977473476895721</v>
      </c>
      <c r="S95" s="53">
        <f t="shared" si="138"/>
        <v>0.38076306583996405</v>
      </c>
      <c r="T95" s="110">
        <f>T94/T93</f>
        <v>0.42492425413193802</v>
      </c>
      <c r="U95" s="89">
        <f>U94/U93</f>
        <v>0.40597403413107386</v>
      </c>
      <c r="V95" s="89">
        <f>V94/V93</f>
        <v>0.42134278011407672</v>
      </c>
      <c r="W95" s="89">
        <f>W94/W93</f>
        <v>0.4700799282717224</v>
      </c>
      <c r="X95" s="89">
        <f t="shared" ref="X95:AC95" si="139">X94/X93</f>
        <v>0.45235512566433073</v>
      </c>
      <c r="Y95" s="89">
        <f t="shared" si="139"/>
        <v>0.44504467581410406</v>
      </c>
      <c r="Z95" s="89">
        <f t="shared" si="139"/>
        <v>0.42737682328053628</v>
      </c>
      <c r="AA95" s="89">
        <f t="shared" si="139"/>
        <v>0.43730790292436333</v>
      </c>
      <c r="AB95" s="89">
        <f t="shared" si="139"/>
        <v>0.44148962706709366</v>
      </c>
      <c r="AC95" s="89">
        <f t="shared" si="139"/>
        <v>0.41168754709072336</v>
      </c>
      <c r="AD95" s="89">
        <f>AD94/AD93</f>
        <v>0.45995375053469068</v>
      </c>
      <c r="AE95" s="174"/>
      <c r="AF95" s="199"/>
      <c r="AG95" s="200"/>
      <c r="AH95" s="200"/>
      <c r="AI95" s="201"/>
    </row>
    <row r="96" spans="1:35" ht="16" x14ac:dyDescent="0.2">
      <c r="A96" s="193"/>
      <c r="B96" s="111"/>
      <c r="C96" s="30"/>
      <c r="D96" s="30"/>
      <c r="E96" s="30"/>
      <c r="F96" s="30"/>
      <c r="G96" s="30"/>
      <c r="H96" s="22"/>
      <c r="I96" s="22"/>
      <c r="J96" s="22"/>
      <c r="K96" s="22"/>
      <c r="L96" s="22"/>
      <c r="M96" s="22"/>
      <c r="N96" s="23"/>
      <c r="O96" s="22"/>
      <c r="P96" s="22"/>
      <c r="Q96" s="22"/>
      <c r="R96" s="22"/>
      <c r="S96" s="22"/>
      <c r="T96" s="22"/>
      <c r="U96" s="22"/>
      <c r="V96" s="22"/>
      <c r="W96" s="22"/>
      <c r="X96" s="112"/>
      <c r="Y96" s="113"/>
      <c r="Z96" s="114"/>
      <c r="AA96" s="114"/>
      <c r="AB96" s="114"/>
      <c r="AC96" s="71"/>
      <c r="AD96" s="22"/>
      <c r="AE96" s="174"/>
      <c r="AF96" s="199"/>
      <c r="AG96" s="200"/>
      <c r="AH96" s="200"/>
      <c r="AI96" s="201"/>
    </row>
    <row r="97" spans="1:35" ht="19" x14ac:dyDescent="0.2">
      <c r="A97" s="193"/>
      <c r="B97" s="115"/>
      <c r="C97" s="1">
        <v>46138</v>
      </c>
      <c r="D97" s="1">
        <v>46107</v>
      </c>
      <c r="E97" s="1">
        <v>46079</v>
      </c>
      <c r="F97" s="1">
        <v>46048</v>
      </c>
      <c r="G97" s="1">
        <v>45986</v>
      </c>
      <c r="H97" s="1">
        <v>45986</v>
      </c>
      <c r="I97" s="1">
        <v>45955</v>
      </c>
      <c r="J97" s="1">
        <v>45925</v>
      </c>
      <c r="K97" s="1">
        <v>45894</v>
      </c>
      <c r="L97" s="1">
        <v>45863</v>
      </c>
      <c r="M97" s="1">
        <v>45833</v>
      </c>
      <c r="N97" s="1">
        <v>45802</v>
      </c>
      <c r="O97" s="28">
        <v>45748</v>
      </c>
      <c r="P97" s="29" t="s">
        <v>3</v>
      </c>
      <c r="Q97" s="95" t="s">
        <v>14</v>
      </c>
      <c r="R97" s="28" t="s">
        <v>5</v>
      </c>
      <c r="S97" s="28">
        <v>45627</v>
      </c>
      <c r="T97" s="29" t="s">
        <v>34</v>
      </c>
      <c r="U97" s="29" t="s">
        <v>7</v>
      </c>
      <c r="V97" s="29" t="s">
        <v>8</v>
      </c>
      <c r="W97" s="29" t="s">
        <v>9</v>
      </c>
      <c r="X97" s="29" t="s">
        <v>35</v>
      </c>
      <c r="Y97" s="29" t="s">
        <v>11</v>
      </c>
      <c r="Z97" s="29" t="s">
        <v>12</v>
      </c>
      <c r="AA97" s="29" t="s">
        <v>40</v>
      </c>
      <c r="AB97" s="29" t="s">
        <v>3</v>
      </c>
      <c r="AC97" s="29" t="s">
        <v>14</v>
      </c>
      <c r="AD97" s="104" t="s">
        <v>5</v>
      </c>
      <c r="AE97" s="174"/>
      <c r="AF97" s="199"/>
      <c r="AG97" s="200"/>
      <c r="AH97" s="200"/>
      <c r="AI97" s="201"/>
    </row>
    <row r="98" spans="1:35" ht="16" x14ac:dyDescent="0.2">
      <c r="A98" s="193"/>
      <c r="B98" s="96" t="s">
        <v>55</v>
      </c>
      <c r="C98" s="66">
        <v>17238</v>
      </c>
      <c r="D98" s="66">
        <v>17904</v>
      </c>
      <c r="E98" s="66">
        <v>18730</v>
      </c>
      <c r="F98" s="66">
        <v>19788</v>
      </c>
      <c r="G98" s="66">
        <v>19496</v>
      </c>
      <c r="H98" s="66">
        <v>19034</v>
      </c>
      <c r="I98" s="66">
        <v>20736</v>
      </c>
      <c r="J98" s="66">
        <v>20890</v>
      </c>
      <c r="K98" s="66">
        <v>21145</v>
      </c>
      <c r="L98" s="66">
        <v>21207</v>
      </c>
      <c r="M98" s="66">
        <v>20067</v>
      </c>
      <c r="N98" s="67">
        <v>20715</v>
      </c>
      <c r="O98" s="66">
        <v>20963</v>
      </c>
      <c r="P98" s="66">
        <v>21318</v>
      </c>
      <c r="Q98" s="67">
        <v>22200</v>
      </c>
      <c r="R98" s="75">
        <v>22350</v>
      </c>
      <c r="S98" s="75">
        <v>21536</v>
      </c>
      <c r="T98" s="66">
        <v>20731</v>
      </c>
      <c r="U98" s="66">
        <v>21784</v>
      </c>
      <c r="V98" s="66">
        <v>21350</v>
      </c>
      <c r="W98" s="66">
        <v>21904</v>
      </c>
      <c r="X98" s="66">
        <v>22649</v>
      </c>
      <c r="Y98" s="66">
        <v>23758</v>
      </c>
      <c r="Z98" s="66">
        <v>25003</v>
      </c>
      <c r="AA98" s="66">
        <v>23955</v>
      </c>
      <c r="AB98" s="66">
        <v>23104</v>
      </c>
      <c r="AC98" s="66">
        <v>23097</v>
      </c>
      <c r="AD98" s="98">
        <v>21834</v>
      </c>
      <c r="AE98" s="174"/>
      <c r="AF98" s="199"/>
      <c r="AG98" s="200"/>
      <c r="AH98" s="200"/>
      <c r="AI98" s="201"/>
    </row>
    <row r="99" spans="1:35" ht="16" x14ac:dyDescent="0.2">
      <c r="A99" s="193"/>
      <c r="B99" s="96" t="s">
        <v>56</v>
      </c>
      <c r="C99" s="66">
        <v>4632</v>
      </c>
      <c r="D99" s="66">
        <v>4690</v>
      </c>
      <c r="E99" s="66">
        <v>5055</v>
      </c>
      <c r="F99" s="66">
        <v>5220</v>
      </c>
      <c r="G99" s="66">
        <v>5468</v>
      </c>
      <c r="H99" s="66">
        <v>5829</v>
      </c>
      <c r="I99" s="66">
        <v>6076</v>
      </c>
      <c r="J99" s="66">
        <v>5961</v>
      </c>
      <c r="K99" s="66">
        <v>6125</v>
      </c>
      <c r="L99" s="66">
        <v>6260</v>
      </c>
      <c r="M99" s="66">
        <v>6490</v>
      </c>
      <c r="N99" s="67">
        <v>6773</v>
      </c>
      <c r="O99" s="66">
        <v>7043</v>
      </c>
      <c r="P99" s="66">
        <v>7249</v>
      </c>
      <c r="Q99" s="67">
        <v>7626</v>
      </c>
      <c r="R99" s="66">
        <v>7884</v>
      </c>
      <c r="S99" s="66">
        <v>8259</v>
      </c>
      <c r="T99" s="66">
        <v>8586</v>
      </c>
      <c r="U99" s="66">
        <v>8773</v>
      </c>
      <c r="V99" s="66">
        <v>8678</v>
      </c>
      <c r="W99" s="66">
        <v>10287</v>
      </c>
      <c r="X99" s="66">
        <v>10365</v>
      </c>
      <c r="Y99" s="66">
        <v>10504</v>
      </c>
      <c r="Z99" s="66">
        <v>10696</v>
      </c>
      <c r="AA99" s="66">
        <v>10429</v>
      </c>
      <c r="AB99" s="66">
        <v>10353</v>
      </c>
      <c r="AC99" s="66">
        <v>10249</v>
      </c>
      <c r="AD99" s="98">
        <v>10360</v>
      </c>
      <c r="AE99" s="174"/>
      <c r="AF99" s="199"/>
      <c r="AG99" s="200"/>
      <c r="AH99" s="200"/>
      <c r="AI99" s="201"/>
    </row>
    <row r="100" spans="1:35" ht="16" x14ac:dyDescent="0.2">
      <c r="A100" s="193"/>
      <c r="B100" s="109" t="s">
        <v>59</v>
      </c>
      <c r="C100" s="53">
        <f t="shared" ref="C100:D100" si="140">C99/C98</f>
        <v>0.26870866689871215</v>
      </c>
      <c r="D100" s="53">
        <f t="shared" si="140"/>
        <v>0.26195263628239501</v>
      </c>
      <c r="E100" s="53">
        <f t="shared" ref="E100:F100" si="141">E99/E98</f>
        <v>0.26988788040576617</v>
      </c>
      <c r="F100" s="53">
        <f t="shared" si="141"/>
        <v>0.26379624014554276</v>
      </c>
      <c r="G100" s="53">
        <f t="shared" ref="G100:H100" si="142">G99/G98</f>
        <v>0.28046778826425933</v>
      </c>
      <c r="H100" s="53">
        <f t="shared" si="142"/>
        <v>0.30624146264579172</v>
      </c>
      <c r="I100" s="53">
        <f>I99/I98</f>
        <v>0.29301697530864196</v>
      </c>
      <c r="J100" s="53">
        <f t="shared" ref="J100:K100" si="143">J99/J98</f>
        <v>0.28535184298707517</v>
      </c>
      <c r="K100" s="53">
        <f t="shared" si="143"/>
        <v>0.28966658784582644</v>
      </c>
      <c r="L100" s="53">
        <f>L99/L98</f>
        <v>0.29518555194039703</v>
      </c>
      <c r="M100" s="53">
        <f t="shared" ref="M100" si="144">M99/M98</f>
        <v>0.32341655454228335</v>
      </c>
      <c r="N100" s="88">
        <f>N99/N98</f>
        <v>0.32696113927105963</v>
      </c>
      <c r="O100" s="53">
        <f>O99/O98</f>
        <v>0.33597290464151125</v>
      </c>
      <c r="P100" s="53">
        <f t="shared" ref="P100" si="145">P99/P98</f>
        <v>0.34004127966976266</v>
      </c>
      <c r="Q100" s="88">
        <f>Q99/Q98</f>
        <v>0.3435135135135135</v>
      </c>
      <c r="R100" s="116">
        <f t="shared" ref="R100:S100" si="146">R99/R98</f>
        <v>0.35275167785234901</v>
      </c>
      <c r="S100" s="116">
        <f t="shared" si="146"/>
        <v>0.38349739970282321</v>
      </c>
      <c r="T100" s="53">
        <f>T99/T98</f>
        <v>0.41416236553953018</v>
      </c>
      <c r="U100" s="89">
        <f>U99/U98</f>
        <v>0.40272677194271023</v>
      </c>
      <c r="V100" s="89">
        <f>V99/V98</f>
        <v>0.40646370023419204</v>
      </c>
      <c r="W100" s="89">
        <f>W99/W98</f>
        <v>0.46964024835646456</v>
      </c>
      <c r="X100" s="89">
        <f t="shared" ref="X100:AC100" si="147">X99/X98</f>
        <v>0.45763609872400546</v>
      </c>
      <c r="Y100" s="89">
        <f t="shared" si="147"/>
        <v>0.44212475797626061</v>
      </c>
      <c r="Z100" s="89">
        <f t="shared" si="147"/>
        <v>0.42778866536015681</v>
      </c>
      <c r="AA100" s="89">
        <f t="shared" si="147"/>
        <v>0.43535796284700479</v>
      </c>
      <c r="AB100" s="89">
        <f t="shared" si="147"/>
        <v>0.44810422437673131</v>
      </c>
      <c r="AC100" s="89">
        <f t="shared" si="147"/>
        <v>0.44373728189808198</v>
      </c>
      <c r="AD100" s="89">
        <f>AD99/AD98</f>
        <v>0.47448932857011999</v>
      </c>
      <c r="AE100" s="175"/>
      <c r="AF100" s="202"/>
      <c r="AG100" s="203"/>
      <c r="AH100" s="203"/>
      <c r="AI100" s="204"/>
    </row>
  </sheetData>
  <mergeCells count="49">
    <mergeCell ref="A1:AI1"/>
    <mergeCell ref="A2:A44"/>
    <mergeCell ref="B2:G2"/>
    <mergeCell ref="B3:F5"/>
    <mergeCell ref="B6:F8"/>
    <mergeCell ref="AB6:AI8"/>
    <mergeCell ref="B9:F11"/>
    <mergeCell ref="AB9:AI11"/>
    <mergeCell ref="B12:F14"/>
    <mergeCell ref="AH12:AI14"/>
    <mergeCell ref="B35:F37"/>
    <mergeCell ref="R35:AI37"/>
    <mergeCell ref="AA42:AB44"/>
    <mergeCell ref="B41:AI41"/>
    <mergeCell ref="B15:F17"/>
    <mergeCell ref="Z15:AI17"/>
    <mergeCell ref="B18:AI18"/>
    <mergeCell ref="B19:G19"/>
    <mergeCell ref="B20:F22"/>
    <mergeCell ref="B23:F25"/>
    <mergeCell ref="B26:F28"/>
    <mergeCell ref="B29:F31"/>
    <mergeCell ref="B32:F34"/>
    <mergeCell ref="B38:AI38"/>
    <mergeCell ref="B72:AE72"/>
    <mergeCell ref="AC42:AI44"/>
    <mergeCell ref="A45:A100"/>
    <mergeCell ref="B45:AE45"/>
    <mergeCell ref="AF45:AI100"/>
    <mergeCell ref="B46:AE46"/>
    <mergeCell ref="AB47:AE50"/>
    <mergeCell ref="B51:AE51"/>
    <mergeCell ref="AB52:AE55"/>
    <mergeCell ref="B56:AE56"/>
    <mergeCell ref="B57:AE57"/>
    <mergeCell ref="AC58:AE60"/>
    <mergeCell ref="B62:AE62"/>
    <mergeCell ref="AC63:AE65"/>
    <mergeCell ref="B67:AE67"/>
    <mergeCell ref="AC68:AE70"/>
    <mergeCell ref="B90:F91"/>
    <mergeCell ref="G90:AE91"/>
    <mergeCell ref="AE92:AE100"/>
    <mergeCell ref="AC73:AE75"/>
    <mergeCell ref="B77:AE77"/>
    <mergeCell ref="B78:F79"/>
    <mergeCell ref="G78:AD79"/>
    <mergeCell ref="AE78:AE88"/>
    <mergeCell ref="B89:AE89"/>
  </mergeCells>
  <conditionalFormatting sqref="B81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3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4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7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1:R71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6:R7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1:S61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6:S66"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0:W50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5:W55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3:AD83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8:AD88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5:AD9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0:AD100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1:V6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60:AP6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65:AP66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70:AP71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75:AP7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 </vt:lpstr>
    </vt:vector>
  </TitlesOfParts>
  <Company>B&amp;H Photo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 Leiter</dc:creator>
  <cp:lastModifiedBy>Jerel Smith</cp:lastModifiedBy>
  <dcterms:created xsi:type="dcterms:W3CDTF">2025-07-23T15:39:43Z</dcterms:created>
  <dcterms:modified xsi:type="dcterms:W3CDTF">2026-05-13T20:54:40Z</dcterms:modified>
</cp:coreProperties>
</file>